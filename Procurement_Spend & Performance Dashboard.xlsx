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kuche\OneDrive\Desktop\"/>
    </mc:Choice>
  </mc:AlternateContent>
  <xr:revisionPtr revIDLastSave="0" documentId="13_ncr:1_{42DC89EE-5FC0-4ABA-B3CF-4491F0A4CF39}" xr6:coauthVersionLast="47" xr6:coauthVersionMax="47" xr10:uidLastSave="{00000000-0000-0000-0000-000000000000}"/>
  <bookViews>
    <workbookView xWindow="-108" yWindow="-108" windowWidth="23256" windowHeight="12576" firstSheet="6" activeTab="6" xr2:uid="{00000000-000D-0000-FFFF-FFFF00000000}"/>
  </bookViews>
  <sheets>
    <sheet name="Monthly Spend Trend" sheetId="8" state="hidden" r:id="rId1"/>
    <sheet name="Supplier-wise Spend" sheetId="9" state="hidden" r:id="rId2"/>
    <sheet name="Category-wise Spend" sheetId="10" state="hidden" r:id="rId3"/>
    <sheet name="Payment Status Analysis" sheetId="11" state="hidden" r:id="rId4"/>
    <sheet name="Deliver Delay Analysis" sheetId="12" state="hidden" r:id="rId5"/>
    <sheet name="Total suppliers" sheetId="13" state="hidden" r:id="rId6"/>
    <sheet name="Dashboard" sheetId="3" r:id="rId7"/>
    <sheet name="Procurement_Data" sheetId="1" r:id="rId8"/>
  </sheets>
  <definedNames>
    <definedName name="_xlnm._FilterDatabase" localSheetId="7" hidden="1">Procurement_Data!$A$1:$H$501</definedName>
    <definedName name="Slicer_">#N/A</definedName>
    <definedName name="Slicer_Category">#N/A</definedName>
    <definedName name="Slicer_Contract_Status">#N/A</definedName>
    <definedName name="Slicer_Supplier_Na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13" l="1"/>
</calcChain>
</file>

<file path=xl/sharedStrings.xml><?xml version="1.0" encoding="utf-8"?>
<sst xmlns="http://schemas.openxmlformats.org/spreadsheetml/2006/main" count="3090" uniqueCount="548">
  <si>
    <t>Transaction_ID</t>
  </si>
  <si>
    <t>Supplier_Name</t>
  </si>
  <si>
    <t>Category</t>
  </si>
  <si>
    <t>Month</t>
  </si>
  <si>
    <t>Spend_Amount</t>
  </si>
  <si>
    <t>Payment_Status</t>
  </si>
  <si>
    <t>Delivery_Delay_Days</t>
  </si>
  <si>
    <t>Contract_Status</t>
  </si>
  <si>
    <t>TXN0001</t>
  </si>
  <si>
    <t>Nova Industries</t>
  </si>
  <si>
    <t>Maintenance</t>
  </si>
  <si>
    <t>Apr</t>
  </si>
  <si>
    <t>Overdue</t>
  </si>
  <si>
    <t>Active</t>
  </si>
  <si>
    <t>TXN0002</t>
  </si>
  <si>
    <t>Vertex Solutions</t>
  </si>
  <si>
    <t>Raw Material</t>
  </si>
  <si>
    <t>Sep</t>
  </si>
  <si>
    <t>Paid</t>
  </si>
  <si>
    <t>Expiring</t>
  </si>
  <si>
    <t>TXN0003</t>
  </si>
  <si>
    <t>Global Logistics</t>
  </si>
  <si>
    <t>Office Supplies</t>
  </si>
  <si>
    <t>May</t>
  </si>
  <si>
    <t>TXN0004</t>
  </si>
  <si>
    <t>Rapid Transport</t>
  </si>
  <si>
    <t>Logistics</t>
  </si>
  <si>
    <t>Oct</t>
  </si>
  <si>
    <t>TXN0005</t>
  </si>
  <si>
    <t>Delta Packaging</t>
  </si>
  <si>
    <t>Aug</t>
  </si>
  <si>
    <t>TXN0006</t>
  </si>
  <si>
    <t>Pending</t>
  </si>
  <si>
    <t>TXN0007</t>
  </si>
  <si>
    <t>Elite Vendors</t>
  </si>
  <si>
    <t>Renewed</t>
  </si>
  <si>
    <t>TXN0008</t>
  </si>
  <si>
    <t>Vision Supplies</t>
  </si>
  <si>
    <t>TXN0009</t>
  </si>
  <si>
    <t>Jul</t>
  </si>
  <si>
    <t>TXN0010</t>
  </si>
  <si>
    <t>Skyline Traders</t>
  </si>
  <si>
    <t>Transportation</t>
  </si>
  <si>
    <t>Feb</t>
  </si>
  <si>
    <t>TXN0011</t>
  </si>
  <si>
    <t>Nov</t>
  </si>
  <si>
    <t>TXN0012</t>
  </si>
  <si>
    <t>ABC Packaging</t>
  </si>
  <si>
    <t>Dec</t>
  </si>
  <si>
    <t>TXN0013</t>
  </si>
  <si>
    <t>Prime Materials</t>
  </si>
  <si>
    <t>TXN0014</t>
  </si>
  <si>
    <t>TXN0015</t>
  </si>
  <si>
    <t>Mar</t>
  </si>
  <si>
    <t>TXN0016</t>
  </si>
  <si>
    <t>Packaging</t>
  </si>
  <si>
    <t>TXN0017</t>
  </si>
  <si>
    <t>TXN0018</t>
  </si>
  <si>
    <t>TXN0019</t>
  </si>
  <si>
    <t>TXN0020</t>
  </si>
  <si>
    <t>TXN0021</t>
  </si>
  <si>
    <t>Jun</t>
  </si>
  <si>
    <t>TXN0022</t>
  </si>
  <si>
    <t>TXN0023</t>
  </si>
  <si>
    <t>TXN0024</t>
  </si>
  <si>
    <t>TXN0025</t>
  </si>
  <si>
    <t>TXN0026</t>
  </si>
  <si>
    <t>TXN0027</t>
  </si>
  <si>
    <t>TXN0028</t>
  </si>
  <si>
    <t>TXN0029</t>
  </si>
  <si>
    <t>TXN0030</t>
  </si>
  <si>
    <t>TXN0031</t>
  </si>
  <si>
    <t>TXN0032</t>
  </si>
  <si>
    <t>TXN0033</t>
  </si>
  <si>
    <t>TXN0034</t>
  </si>
  <si>
    <t>TXN0035</t>
  </si>
  <si>
    <t>TXN0036</t>
  </si>
  <si>
    <t>TXN0037</t>
  </si>
  <si>
    <t>TXN0038</t>
  </si>
  <si>
    <t>TXN0039</t>
  </si>
  <si>
    <t>TXN0040</t>
  </si>
  <si>
    <t>TXN0041</t>
  </si>
  <si>
    <t>TXN0042</t>
  </si>
  <si>
    <t>TXN0043</t>
  </si>
  <si>
    <t>TXN0044</t>
  </si>
  <si>
    <t>Jan</t>
  </si>
  <si>
    <t>TXN0045</t>
  </si>
  <si>
    <t>TXN0046</t>
  </si>
  <si>
    <t>TXN0047</t>
  </si>
  <si>
    <t>TXN0048</t>
  </si>
  <si>
    <t>TXN0049</t>
  </si>
  <si>
    <t>TXN0050</t>
  </si>
  <si>
    <t>TXN0051</t>
  </si>
  <si>
    <t>TXN0052</t>
  </si>
  <si>
    <t>TXN0053</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</si>
  <si>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</si>
  <si>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</si>
  <si>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</si>
  <si>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</si>
  <si>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</si>
  <si>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</si>
  <si>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</si>
  <si>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</si>
  <si>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</si>
  <si>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</si>
  <si>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</si>
  <si>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</si>
  <si>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</si>
  <si>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</si>
  <si>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</si>
  <si>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</si>
  <si>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</si>
  <si>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</si>
  <si>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TXN0072</t>
  </si>
  <si>
    <t>TXN0073</t>
  </si>
  <si>
    <t>TXN0074</t>
  </si>
  <si>
    <t>TXN0075</t>
  </si>
  <si>
    <t>TXN0076</t>
  </si>
  <si>
    <t>TXN0077</t>
  </si>
  <si>
    <t>TXN0078</t>
  </si>
  <si>
    <t>TXN0079</t>
  </si>
  <si>
    <t>TXN0080</t>
  </si>
  <si>
    <t>TXN0081</t>
  </si>
  <si>
    <t>TXN0082</t>
  </si>
  <si>
    <t>TXN0083</t>
  </si>
  <si>
    <t>TXN0084</t>
  </si>
  <si>
    <t>TXN0085</t>
  </si>
  <si>
    <t>TXN0086</t>
  </si>
  <si>
    <t>TXN0087</t>
  </si>
  <si>
    <t>TXN0088</t>
  </si>
  <si>
    <t>TXN0089</t>
  </si>
  <si>
    <t>TXN0090</t>
  </si>
  <si>
    <t>TXN0091</t>
  </si>
  <si>
    <t>TXN0092</t>
  </si>
  <si>
    <t>TXN0093</t>
  </si>
  <si>
    <t>TXN0094</t>
  </si>
  <si>
    <t>TXN0095</t>
  </si>
  <si>
    <t>TXN0096</t>
  </si>
  <si>
    <t>TXN0097</t>
  </si>
  <si>
    <t>TXN0098</t>
  </si>
  <si>
    <t>TXN0099</t>
  </si>
  <si>
    <t>TXN0100</t>
  </si>
  <si>
    <t>TXN0101</t>
  </si>
  <si>
    <t>TXN0102</t>
  </si>
  <si>
    <t>TXN0103</t>
  </si>
  <si>
    <t>TXN0104</t>
  </si>
  <si>
    <t>TXN0105</t>
  </si>
  <si>
    <t>TXN0106</t>
  </si>
  <si>
    <t>TXN0107</t>
  </si>
  <si>
    <t>TXN0108</t>
  </si>
  <si>
    <t>TXN0109</t>
  </si>
  <si>
    <t>TXN0110</t>
  </si>
  <si>
    <t>TXN0111</t>
  </si>
  <si>
    <t>TXN0112</t>
  </si>
  <si>
    <t>TXN0113</t>
  </si>
  <si>
    <t>TXN0114</t>
  </si>
  <si>
    <t>TXN0115</t>
  </si>
  <si>
    <t>TXN0116</t>
  </si>
  <si>
    <t>TXN0117</t>
  </si>
  <si>
    <t>TXN0118</t>
  </si>
  <si>
    <t>TXN0119</t>
  </si>
  <si>
    <t>TXN0120</t>
  </si>
  <si>
    <t>TXN0121</t>
  </si>
  <si>
    <t>TXN0122</t>
  </si>
  <si>
    <t>TXN0123</t>
  </si>
  <si>
    <t>TXN0124</t>
  </si>
  <si>
    <t>TXN0125</t>
  </si>
  <si>
    <t>TXN0126</t>
  </si>
  <si>
    <t>TXN0127</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</si>
  <si>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</si>
  <si>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</si>
  <si>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</si>
  <si>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</si>
  <si>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</si>
  <si>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</si>
  <si>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</si>
  <si>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</si>
  <si>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</si>
  <si>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</si>
  <si>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</si>
  <si>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</si>
  <si>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</si>
  <si>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</si>
  <si>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</si>
  <si>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</si>
  <si>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</si>
  <si>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</si>
  <si>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</si>
  <si>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</si>
  <si>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TXN0148</t>
  </si>
  <si>
    <t>TXN0149</t>
  </si>
  <si>
    <t>TXN0150</t>
  </si>
  <si>
    <t>TXN0151</t>
  </si>
  <si>
    <t>TXN0152</t>
  </si>
  <si>
    <t>TXN0153</t>
  </si>
  <si>
    <t>TXN0154</t>
  </si>
  <si>
    <t>TXN0155</t>
  </si>
  <si>
    <t>TXN0156</t>
  </si>
  <si>
    <t>TXN0157</t>
  </si>
  <si>
    <t>TXN0158</t>
  </si>
  <si>
    <t>TXN0159</t>
  </si>
  <si>
    <t>TXN0160</t>
  </si>
  <si>
    <t>TXN0161</t>
  </si>
  <si>
    <t>TXN0162</t>
  </si>
  <si>
    <t>TXN0163</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</si>
  <si>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</si>
  <si>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</si>
  <si>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</si>
  <si>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</si>
  <si>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</si>
  <si>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</si>
  <si>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</si>
  <si>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</si>
  <si>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</si>
  <si>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</si>
  <si>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</si>
  <si>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</si>
  <si>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</si>
  <si>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</si>
  <si>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</si>
  <si>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</si>
  <si>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</si>
  <si>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TXN0181</t>
  </si>
  <si>
    <t>TXN0182</t>
  </si>
  <si>
    <t>TXN0183</t>
  </si>
  <si>
    <t>TXN0184</t>
  </si>
  <si>
    <t>TXN0185</t>
  </si>
  <si>
    <t>TXN0186</t>
  </si>
  <si>
    <t>TXN0187</t>
  </si>
  <si>
    <t>TXN0188</t>
  </si>
  <si>
    <t>TXN0189</t>
  </si>
  <si>
    <t>TXN0190</t>
  </si>
  <si>
    <t>TXN0191</t>
  </si>
  <si>
    <t>TXN0192</t>
  </si>
  <si>
    <t>TXN0193</t>
  </si>
  <si>
    <t>TXN0194</t>
  </si>
  <si>
    <t>TXN0195</t>
  </si>
  <si>
    <t>TXN0196</t>
  </si>
  <si>
    <t>TXN0197</t>
  </si>
  <si>
    <t>TXN0198</t>
  </si>
  <si>
    <t>TXN0199</t>
  </si>
  <si>
    <t>TXN0200</t>
  </si>
  <si>
    <t>TXN0201</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</si>
  <si>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</si>
  <si>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</si>
  <si>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</si>
  <si>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</si>
  <si>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</si>
  <si>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</si>
  <si>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</si>
  <si>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</si>
  <si>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</si>
  <si>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</si>
  <si>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</si>
  <si>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</si>
  <si>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</si>
  <si>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</si>
  <si>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</si>
  <si>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</si>
  <si>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</si>
  <si>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</si>
  <si>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</si>
  <si>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</si>
  <si>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</si>
  <si>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</si>
  <si>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</si>
  <si>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</si>
  <si>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</si>
  <si>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</si>
  <si>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</si>
  <si>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</si>
  <si>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</si>
  <si>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</si>
  <si>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</si>
  <si>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</si>
  <si>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</si>
  <si>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</si>
  <si>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</si>
  <si>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</si>
  <si>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</si>
  <si>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</si>
  <si>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</si>
  <si>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TXN0241</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</si>
  <si>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</si>
  <si>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</si>
  <si>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</si>
  <si>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</si>
  <si>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</si>
  <si>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</si>
  <si>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</si>
  <si>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</si>
  <si>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</si>
  <si>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</si>
  <si>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</si>
  <si>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</si>
  <si>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</si>
  <si>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</si>
  <si>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</si>
  <si>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</si>
  <si>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</si>
  <si>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</si>
  <si>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</si>
  <si>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</si>
  <si>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</si>
  <si>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</si>
  <si>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</si>
  <si>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</si>
  <si>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TXN0266</t>
  </si>
  <si>
    <t>TXN0267</t>
  </si>
  <si>
    <t>TXN0268</t>
  </si>
  <si>
    <t>TXN0269</t>
  </si>
  <si>
    <t>TXN0270</t>
  </si>
  <si>
    <t>TXN0271</t>
  </si>
  <si>
    <t>TXN0272</t>
  </si>
  <si>
    <t>TXN0273</t>
  </si>
  <si>
    <t>TXN0274</t>
  </si>
  <si>
    <t>TXN0275</t>
  </si>
  <si>
    <t>TXN0276</t>
  </si>
  <si>
    <t>TXN0277</t>
  </si>
  <si>
    <t>TXN0278</t>
  </si>
  <si>
    <t>TXN0279</t>
  </si>
  <si>
    <t>TXN0280</t>
  </si>
  <si>
    <t>TXN0281</t>
  </si>
  <si>
    <t>TXN0282</t>
  </si>
  <si>
    <t>TXN0283</t>
  </si>
  <si>
    <t>TXN0284</t>
  </si>
  <si>
    <t>TXN0285</t>
  </si>
  <si>
    <t>TXN0286</t>
  </si>
  <si>
    <t>TXN0287</t>
  </si>
  <si>
    <t>TXN0288</t>
  </si>
  <si>
    <t>TXN0289</t>
  </si>
  <si>
    <t>TXN0290</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</si>
  <si>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</si>
  <si>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</si>
  <si>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</si>
  <si>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</si>
  <si>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</si>
  <si>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</si>
  <si>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</si>
  <si>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</si>
  <si>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</si>
  <si>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</si>
  <si>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</si>
  <si>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</si>
  <si>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</si>
  <si>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</si>
  <si>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</si>
  <si>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</si>
  <si>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</si>
  <si>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TXN0308</t>
  </si>
  <si>
    <t>TXN0309</t>
  </si>
  <si>
    <t>TXN0310</t>
  </si>
  <si>
    <t>TXN0311</t>
  </si>
  <si>
    <t>TXN0312</t>
  </si>
  <si>
    <t>TXN0313</t>
  </si>
  <si>
    <t>TXN0314</t>
  </si>
  <si>
    <t>TXN0315</t>
  </si>
  <si>
    <t>TXN0316</t>
  </si>
  <si>
    <t>TXN0317</t>
  </si>
  <si>
    <t>TXN0318</t>
  </si>
  <si>
    <t>TXN0319</t>
  </si>
  <si>
    <t>TXN0320</t>
  </si>
  <si>
    <t>TXN0321</t>
  </si>
  <si>
    <t>TXN0322</t>
  </si>
  <si>
    <t>TXN0323</t>
  </si>
  <si>
    <t>TXN0324</t>
  </si>
  <si>
    <t>TXN0325</t>
  </si>
  <si>
    <t>TXN0326</t>
  </si>
  <si>
    <t>TXN0327</t>
  </si>
  <si>
    <t>TXN0328</t>
  </si>
  <si>
    <t>TXN0329</t>
  </si>
  <si>
    <t>TXN0330</t>
  </si>
  <si>
    <t>TXN0331</t>
  </si>
  <si>
    <t>TXN0332</t>
  </si>
  <si>
    <t>TXN0333</t>
  </si>
  <si>
    <t>TXN0334</t>
  </si>
  <si>
    <t>TXN0335</t>
  </si>
  <si>
    <t>TXN0336</t>
  </si>
  <si>
    <t>TXN0337</t>
  </si>
  <si>
    <t>TXN0338</t>
  </si>
  <si>
    <t>TXN0339</t>
  </si>
  <si>
    <t>TXN0340</t>
  </si>
  <si>
    <t>TXN0341</t>
  </si>
  <si>
    <t>TXN0342</t>
  </si>
  <si>
    <t>TXN0343</t>
  </si>
  <si>
    <t>TXN0344</t>
  </si>
  <si>
    <t>TXN0345</t>
  </si>
  <si>
    <t>TXN0346</t>
  </si>
  <si>
    <t>TXN0347</t>
  </si>
  <si>
    <t>TXN0348</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</si>
  <si>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</si>
  <si>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</si>
  <si>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</si>
  <si>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</si>
  <si>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</si>
  <si>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</si>
  <si>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</si>
  <si>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</si>
  <si>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</si>
  <si>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</si>
  <si>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</si>
  <si>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</si>
  <si>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</si>
  <si>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</si>
  <si>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</si>
  <si>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</si>
  <si>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</si>
  <si>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</si>
  <si>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</si>
  <si>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</si>
  <si>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</si>
  <si>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</si>
  <si>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</si>
  <si>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</si>
  <si>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</si>
  <si>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</si>
  <si>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</si>
  <si>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</si>
  <si>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TXN0377</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</si>
  <si>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</si>
  <si>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</si>
  <si>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</si>
  <si>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</si>
  <si>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</si>
  <si>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</si>
  <si>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</si>
  <si>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</si>
  <si>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</si>
  <si>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</si>
  <si>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</si>
  <si>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</si>
  <si>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</si>
  <si>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</si>
  <si>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</si>
  <si>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</si>
  <si>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</si>
  <si>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</si>
  <si>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</si>
  <si>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</si>
  <si>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</si>
  <si>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</si>
  <si>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</si>
  <si>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TXN0401</t>
  </si>
  <si>
    <t>TXN0402</t>
  </si>
  <si>
    <t>TXN0403</t>
  </si>
  <si>
    <t>TXN0404</t>
  </si>
  <si>
    <t>TXN0405</t>
  </si>
  <si>
    <t>TXN0406</t>
  </si>
  <si>
    <t>TXN0407</t>
  </si>
  <si>
    <t>TXN0408</t>
  </si>
  <si>
    <t>TXN0409</t>
  </si>
  <si>
    <t>TXN0410</t>
  </si>
  <si>
    <t>TXN0411</t>
  </si>
  <si>
    <t>TXN0412</t>
  </si>
  <si>
    <t>TXN0413</t>
  </si>
  <si>
    <t>TXN0414</t>
  </si>
  <si>
    <t>TXN0415</t>
  </si>
  <si>
    <t>TXN0416</t>
  </si>
  <si>
    <t>TXN0417</t>
  </si>
  <si>
    <t>TXN0418</t>
  </si>
  <si>
    <t>TXN0419</t>
  </si>
  <si>
    <t>TXN0420</t>
  </si>
  <si>
    <t>TXN0421</t>
  </si>
  <si>
    <t>TXN0422</t>
  </si>
  <si>
    <t>TXN0423</t>
  </si>
  <si>
    <t>TXN0424</t>
  </si>
  <si>
    <t>TXN0425</t>
  </si>
  <si>
    <t>TXN0426</t>
  </si>
  <si>
    <t>TXN0427</t>
  </si>
  <si>
    <t>TXN0428</t>
  </si>
  <si>
    <t>TXN0429</t>
  </si>
  <si>
    <t>TXN0430</t>
  </si>
  <si>
    <t>TXN0431</t>
  </si>
  <si>
    <t>TXN0432</t>
  </si>
  <si>
    <t>TXN0433</t>
  </si>
  <si>
    <t>TXN0434</t>
  </si>
  <si>
    <t>TXN0435</t>
  </si>
  <si>
    <t>TXN0436</t>
  </si>
  <si>
    <t>TXN0437</t>
  </si>
  <si>
    <t>TXN0438</t>
  </si>
  <si>
    <t>TXN0439</t>
  </si>
  <si>
    <t>TXN0440</t>
  </si>
  <si>
    <t>TXN0441</t>
  </si>
  <si>
    <t>TXN0442</t>
  </si>
  <si>
    <t>TXN0443</t>
  </si>
  <si>
    <t>TXN0444</t>
  </si>
  <si>
    <t>TXN0445</t>
  </si>
  <si>
    <t>TXN0446</t>
  </si>
  <si>
    <t>TXN0447</t>
  </si>
  <si>
    <t>TXN0448</t>
  </si>
  <si>
    <t>TXN0449</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</si>
  <si>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</si>
  <si>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</si>
  <si>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</si>
  <si>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</si>
  <si>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</si>
  <si>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</si>
  <si>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</si>
  <si>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</si>
  <si>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</si>
  <si>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</si>
  <si>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</si>
  <si>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</si>
  <si>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</si>
  <si>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</si>
  <si>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</si>
  <si>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</si>
  <si>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</si>
  <si>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</si>
  <si>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</si>
  <si>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</si>
  <si>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</si>
  <si>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</si>
  <si>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</si>
  <si>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</si>
  <si>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</si>
  <si>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</si>
  <si>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</si>
  <si>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TXN0477</t>
  </si>
  <si>
    <t>TXN0478</t>
  </si>
  <si>
    <t>TXN0479</t>
  </si>
  <si>
    <t>TXN0480</t>
  </si>
  <si>
    <t>TXN0481</t>
  </si>
  <si>
    <t>TXN0482</t>
  </si>
  <si>
    <t>TXN0483</t>
  </si>
  <si>
    <t>TXN0484</t>
  </si>
  <si>
    <t>TXN0485</t>
  </si>
  <si>
    <t>TXN0486</t>
  </si>
  <si>
    <t>TXN0487</t>
  </si>
  <si>
    <t>TXN0488</t>
  </si>
  <si>
    <t>TXN0489</t>
  </si>
  <si>
    <t>TXN0490</t>
  </si>
  <si>
    <t>TXN0491</t>
  </si>
  <si>
    <t>TXN0492</t>
  </si>
  <si>
    <t>TXN0493</t>
  </si>
  <si>
    <t>TXN0494</t>
  </si>
  <si>
    <t>TXN0495</t>
  </si>
  <si>
    <t>TXN0496</t>
  </si>
  <si>
    <t>TXN0497</t>
  </si>
  <si>
    <t>TXN0498</t>
  </si>
  <si>
    <t>TXN0499</t>
  </si>
  <si>
    <t>TXN0500</t>
  </si>
  <si>
    <t>Row Labels</t>
  </si>
  <si>
    <t>Grand Total</t>
  </si>
  <si>
    <t>Column Labels</t>
  </si>
  <si>
    <t>Sum of Spend_Amount</t>
  </si>
  <si>
    <t>Count of Transaction_ID</t>
  </si>
  <si>
    <t>Average of Delivery_Delay_Days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</si>
</sst>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Calibri"/>
      <family val="2"/>
      <scheme val="minor"/>
    </font>
    <font>
      <b/>
      <sz val="11"/>
      <name val="Calibri"/>
    </font>
    <font>
      <b/>
      <sz val="11"/>
      <name val="Calibri"/>
      <family val="2"/>
    </font>
    <font>
      <b/>
      <sz val="14"/>
      <color theme="1"/>
      <name val="Calibri"/>
      <family val="2"/>
      <scheme val="minor"/>
    </font>
    <font>
      <sz val="13"/>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0" borderId="0" xfId="0" applyFont="1"/>
    <xf numFmtId="164" fontId="4" fillId="0" borderId="0" xfId="0" applyNumberFormat="1" applyFont="1"/>
    <xf numFmtId="0" fontId="0" fillId="0" borderId="0" xfId="0" pivotButton="1"/>
    <xf numFmtId="0" fontId="0" fillId="0" borderId="0" xfId="0" applyAlignment="1">
      <alignment horizontal="left"/>
    </xf>
    <xf numFmtId="0" fontId="2"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[Procurement_Spend &amp; Performance Dashboard.xlsx]Monthly Spend Trend!PivotTable5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Spend Trend</a:t>
            </a:r>
            <a:endParaRPr lang="en-US"/>
          </a:p>
        </c:rich>
      </c:tx>
      <c:layout>
        <c:manualLayout>
          <c:xMode val="edge"/>
          <c:yMode val="edge"/>
          <c:x val="0.34138966410844213"/>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Spend Trend'!$B$3</c:f>
              <c:strCache>
                <c:ptCount val="1"/>
                <c:pt idx="0">
                  <c:v>Total</c:v>
                </c:pt>
              </c:strCache>
            </c:strRef>
          </c:tx>
          <c:spPr>
            <a:ln w="28575" cap="rnd">
              <a:solidFill>
                <a:schemeClr val="accent1"/>
              </a:solidFill>
              <a:round/>
            </a:ln>
            <a:effectLst/>
          </c:spPr>
          <c:marker>
            <c:symbol val="none"/>
          </c:marker>
          <c:cat>
            <c:strRef>
              <c:f>'Monthly Spend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Spend Trend'!$B$4:$B$16</c:f>
              <c:numCache>
                <c:formatCode>General</c:formatCode>
                <c:ptCount val="12"/>
                <c:pt idx="0">
                  <c:v>3900158</c:v>
                </c:pt>
                <c:pt idx="1">
                  <c:v>3941084</c:v>
                </c:pt>
                <c:pt idx="2">
                  <c:v>2862565</c:v>
                </c:pt>
                <c:pt idx="3">
                  <c:v>2228122</c:v>
                </c:pt>
                <c:pt idx="4">
                  <c:v>3503650</c:v>
                </c:pt>
                <c:pt idx="5">
                  <c:v>3523180</c:v>
                </c:pt>
                <c:pt idx="6">
                  <c:v>3165451</c:v>
                </c:pt>
                <c:pt idx="7">
                  <c:v>3679836</c:v>
                </c:pt>
                <c:pt idx="8">
                  <c:v>2897279</c:v>
                </c:pt>
                <c:pt idx="9">
                  <c:v>2581917</c:v>
                </c:pt>
                <c:pt idx="10">
                  <c:v>3190752</c:v>
                </c:pt>
                <c:pt idx="11">
                  <c:v>3195311</c:v>
                </c:pt>
              </c:numCache>
            </c:numRef>
          </c:val>
          <c:smooth val="0"/>
          <c:extLst>
            <c:ext xmlns:c16="http://schemas.microsoft.com/office/drawing/2014/chart" uri="{C3380CC4-5D6E-409C-BE32-E72D297353CC}">
              <c16:uniqueId val="{00000000-F7DF-4D26-A384-7FA88BBDD331}"/>
            </c:ext>
          </c:extLst>
        </c:ser>
        <c:dLbls>
          <c:showLegendKey val="0"/>
          <c:showVal val="0"/>
          <c:showCatName val="0"/>
          <c:showSerName val="0"/>
          <c:showPercent val="0"/>
          <c:showBubbleSize val="0"/>
        </c:dLbls>
        <c:smooth val="0"/>
        <c:axId val="1667177040"/>
        <c:axId val="1667198160"/>
      </c:lineChart>
      <c:catAx>
        <c:axId val="166717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98160"/>
        <c:crosses val="autoZero"/>
        <c:auto val="1"/>
        <c:lblAlgn val="ctr"/>
        <c:lblOffset val="100"/>
        <c:noMultiLvlLbl val="0"/>
      </c:catAx>
      <c:valAx>
        <c:axId val="166719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7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[Procurement_Spend &amp; Performance Dashboard.xlsx]Supplier-wise Spend!PivotTable6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Supplier-wise</a:t>
            </a:r>
            <a:r>
              <a:rPr lang="en-US" baseline="0"/>
              <a:t> Spend</a:t>
            </a:r>
            <a:endParaRPr lang="en-US"/>
          </a:p>
        </c:rich>
      </c:tx>
      <c:layout>
        <c:manualLayout>
          <c:xMode val="edge"/>
          <c:yMode val="edge"/>
          <c:x val="0.33978455818022746"/>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'Supplier-wise Spend'!$B$3</c:f>
              <c:strCache>
                <c:ptCount val="1"/>
                <c:pt idx="0">
                  <c:v>Total</c:v>
                </c:pt>
              </c:strCache>
            </c:strRef>
          </c:tx>
          <c:spPr>
            <a:solidFill>
              <a:schemeClr val="accent1"/>
            </a:solidFill>
            <a:ln>
              <a:noFill/>
            </a:ln>
            <a:effectLst/>
          </c:spPr>
          <c:invertIfNegative val="0"/>
          <c:cat>
            <c:strRef>
              <c:f>'Supplier-wise Spend'!$A$4:$A$14</c:f>
              <c:strCache>
                <c:ptCount val="10"/>
                <c:pt idx="0">
                  <c:v>ABC Packaging</c:v>
                </c:pt>
                <c:pt idx="1">
                  <c:v>Nova Industries</c:v>
                </c:pt>
                <c:pt idx="2">
                  <c:v>Delta Packaging</c:v>
                </c:pt>
                <c:pt idx="3">
                  <c:v>Rapid Transport</c:v>
                </c:pt>
                <c:pt idx="4">
                  <c:v>Global Logistics</c:v>
                </c:pt>
                <c:pt idx="5">
                  <c:v>Elite Vendors</c:v>
                </c:pt>
                <c:pt idx="6">
                  <c:v>Skyline Traders</c:v>
                </c:pt>
                <c:pt idx="7">
                  <c:v>Vision Supplies</c:v>
                </c:pt>
                <c:pt idx="8">
                  <c:v>Vertex Solutions</c:v>
                </c:pt>
                <c:pt idx="9">
                  <c:v>Prime Materials</c:v>
                </c:pt>
              </c:strCache>
            </c:strRef>
          </c:cat>
          <c:val>
            <c:numRef>
              <c:f>'Supplier-wise Spend'!$B$4:$B$14</c:f>
              <c:numCache>
                <c:formatCode>General</c:formatCode>
                <c:ptCount val="10"/>
                <c:pt idx="0">
                  <c:v>4242805</c:v>
                </c:pt>
                <c:pt idx="1">
                  <c:v>4228792</c:v>
                </c:pt>
                <c:pt idx="2">
                  <c:v>4207300</c:v>
                </c:pt>
                <c:pt idx="3">
                  <c:v>4165130</c:v>
                </c:pt>
                <c:pt idx="4">
                  <c:v>4092150</c:v>
                </c:pt>
                <c:pt idx="5">
                  <c:v>3960863</c:v>
                </c:pt>
                <c:pt idx="6">
                  <c:v>3758482</c:v>
                </c:pt>
                <c:pt idx="7">
                  <c:v>3454994</c:v>
                </c:pt>
                <c:pt idx="8">
                  <c:v>3371981</c:v>
                </c:pt>
                <c:pt idx="9">
                  <c:v>3186808</c:v>
                </c:pt>
              </c:numCache>
            </c:numRef>
          </c:val>
          <c:extLst>
            <c:ext xmlns:c16="http://schemas.microsoft.com/office/drawing/2014/chart" uri="{C3380CC4-5D6E-409C-BE32-E72D297353CC}">
              <c16:uniqueId val="{00000000-3408-40DC-9922-11BBFD600F53}"/>
            </c:ext>
          </c:extLst>
        </c:ser>
        <c:dLbls>
          <c:showLegendKey val="0"/>
          <c:showVal val="0"/>
          <c:showCatName val="0"/>
          <c:showSerName val="0"/>
          <c:showPercent val="0"/>
          <c:showBubbleSize val="0"/>
        </c:dLbls>
        <c:gapWidth val="219"/>
        <c:overlap val="-27"/>
        <c:axId val="1667167440"/>
        <c:axId val="1667187600"/>
      </c:barChart>
      <c:catAx>
        <c:axId val="166716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87600"/>
        <c:crosses val="autoZero"/>
        <c:auto val="1"/>
        <c:lblAlgn val="ctr"/>
        <c:lblOffset val="100"/>
        <c:noMultiLvlLbl val="0"/>
      </c:catAx>
      <c:valAx>
        <c:axId val="166718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6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[Procurement_Spend &amp; Performance Dashboard.xlsx]Category-wise Spend!PivotTable7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 Spend</a:t>
            </a:r>
          </a:p>
        </c:rich>
      </c:tx>
      <c:layout>
        <c:manualLayout>
          <c:xMode val="edge"/>
          <c:yMode val="edge"/>
          <c:x val="0.36036111111111113"/>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'Category-wise Spend'!$B$3</c:f>
              <c:strCache>
                <c:ptCount val="1"/>
                <c:pt idx="0">
                  <c:v>Total</c:v>
                </c:pt>
              </c:strCache>
            </c:strRef>
          </c:tx>
          <c:spPr>
            <a:solidFill>
              <a:schemeClr val="accent1"/>
            </a:solidFill>
            <a:ln w="19050">
              <a:solidFill>
                <a:schemeClr val="lt1"/>
              </a:solidFill>
            </a:ln>
            <a:effectLst/>
          </c:spPr>
          <c:invertIfNegative val="0"/>
          <c:cat>
            <c:strRef>
              <c:f>'Category-wise Spend'!$A$4:$A$10</c:f>
              <c:strCache>
                <c:ptCount val="6"/>
                <c:pt idx="0">
                  <c:v>Logistics</c:v>
                </c:pt>
                <c:pt idx="1">
                  <c:v>Maintenance</c:v>
                </c:pt>
                <c:pt idx="2">
                  <c:v>Office Supplies</c:v>
                </c:pt>
                <c:pt idx="3">
                  <c:v>Packaging</c:v>
                </c:pt>
                <c:pt idx="4">
                  <c:v>Raw Material</c:v>
                </c:pt>
                <c:pt idx="5">
                  <c:v>Transportation</c:v>
                </c:pt>
              </c:strCache>
            </c:strRef>
          </c:cat>
          <c:val>
            <c:numRef>
              <c:f>'Category-wise Spend'!$B$4:$B$10</c:f>
              <c:numCache>
                <c:formatCode>General</c:formatCode>
                <c:ptCount val="6"/>
                <c:pt idx="0">
                  <c:v>6950084</c:v>
                </c:pt>
                <c:pt idx="1">
                  <c:v>6793872</c:v>
                </c:pt>
                <c:pt idx="2">
                  <c:v>5703725</c:v>
                </c:pt>
                <c:pt idx="3">
                  <c:v>7171911</c:v>
                </c:pt>
                <c:pt idx="4">
                  <c:v>6377567</c:v>
                </c:pt>
                <c:pt idx="5">
                  <c:v>5672146</c:v>
                </c:pt>
              </c:numCache>
            </c:numRef>
          </c:val>
          <c:extLst>
            <c:ext xmlns:c16="http://schemas.microsoft.com/office/drawing/2014/chart" uri="{C3380CC4-5D6E-409C-BE32-E72D297353CC}">
              <c16:uniqueId val="{00000000-B45A-4421-B5EB-6E7A00C21761}"/>
            </c:ext>
          </c:extLst>
        </c:ser>
        <c:dLbls>
          <c:showLegendKey val="0"/>
          <c:showVal val="0"/>
          <c:showCatName val="0"/>
          <c:showSerName val="0"/>
          <c:showPercent val="0"/>
          <c:showBubbleSize val="0"/>
        </c:dLbls>
        <c:gapWidth val="150"/>
        <c:axId val="1667157840"/>
        <c:axId val="1667144400"/>
      </c:barChart>
      <c:valAx>
        <c:axId val="1667144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spend_Amount</a:t>
                </a:r>
                <a:endParaRPr lang="en-IN"/>
              </a:p>
            </c:rich>
          </c:tx>
          <c:layout>
            <c:manualLayout>
              <c:xMode val="edge"/>
              <c:yMode val="edge"/>
              <c:x val="0.54611023622047239"/>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57840"/>
        <c:crosses val="autoZero"/>
        <c:crossBetween val="between"/>
      </c:valAx>
      <c:catAx>
        <c:axId val="166715784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444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[Procurement_Spend &amp; Performance Dashboard.xlsx]Payment Status Analysis!PivotTable8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Status Analysis</a:t>
            </a:r>
            <a:endParaRPr lang="en-IN"/>
          </a:p>
        </c:rich>
      </c:tx>
      <c:layout>
        <c:manualLayout>
          <c:xMode val="edge"/>
          <c:yMode val="edge"/>
          <c:x val="0.30986111111111109"/>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26328484981044037"/>
          <c:w val="0.87578018372703426"/>
          <c:h val="0.58404017206182557"/>
        </c:manualLayout>
      </c:layout>
      <c:barChart>
        <c:barDir val="col"/>
        <c:grouping val="stacked"/>
        <c:varyColors val="0"/>
        <c:ser>
          <c:idx val="0"/>
          <c:order val="0"/>
          <c:tx>
            <c:strRef>
              <c:f>'Payment Status Analysis'!$B$3:$B$4</c:f>
              <c:strCache>
                <c:ptCount val="1"/>
                <c:pt idx="0">
                  <c:v>Overdue</c:v>
                </c:pt>
              </c:strCache>
            </c:strRef>
          </c:tx>
          <c:spPr>
            <a:solidFill>
              <a:schemeClr val="accent1"/>
            </a:solidFill>
            <a:ln>
              <a:noFill/>
            </a:ln>
            <a:effectLst/>
          </c:spPr>
          <c:invertIfNegative val="0"/>
          <c:cat>
            <c:strRef>
              <c:f>'Payment Status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'Payment Status Analysis'!$B$5:$B$17</c:f>
              <c:numCache>
                <c:formatCode>General</c:formatCode>
                <c:ptCount val="12"/>
                <c:pt idx="0">
                  <c:v>10</c:v>
                </c:pt>
                <c:pt idx="1">
                  <c:v>14</c:v>
                </c:pt>
                <c:pt idx="2">
                  <c:v>11</c:v>
                </c:pt>
                <c:pt idx="3">
                  <c:v>10</c:v>
                </c:pt>
                <c:pt idx="4">
                  <c:v>20</c:v>
                </c:pt>
                <c:pt idx="5">
                  <c:v>16</c:v>
                </c:pt>
                <c:pt idx="6">
                  <c:v>12</c:v>
                </c:pt>
                <c:pt idx="7">
                  <c:v>20</c:v>
                </c:pt>
                <c:pt idx="8">
                  <c:v>12</c:v>
                </c:pt>
                <c:pt idx="9">
                  <c:v>4</c:v>
                </c:pt>
                <c:pt idx="10">
                  <c:v>17</c:v>
                </c:pt>
                <c:pt idx="11">
                  <c:v>10</c:v>
                </c:pt>
              </c:numCache>
            </c:numRef>
          </c:val>
          <c:extLst>
            <c:ext xmlns:c16="http://schemas.microsoft.com/office/drawing/2014/chart" uri="{C3380CC4-5D6E-409C-BE32-E72D297353CC}">
              <c16:uniqueId val="{00000000-60E6-4ED7-90F8-ECF46A523072}"/>
            </c:ext>
          </c:extLst>
        </c:ser>
        <c:ser>
          <c:idx val="1"/>
          <c:order val="1"/>
          <c:tx>
            <c:strRef>
              <c:f>'Payment Status Analysis'!$C$3:$C$4</c:f>
              <c:strCache>
                <c:ptCount val="1"/>
                <c:pt idx="0">
                  <c:v>Paid</c:v>
                </c:pt>
              </c:strCache>
            </c:strRef>
          </c:tx>
          <c:spPr>
            <a:solidFill>
              <a:schemeClr val="accent2"/>
            </a:solidFill>
            <a:ln>
              <a:noFill/>
            </a:ln>
            <a:effectLst/>
          </c:spPr>
          <c:invertIfNegative val="0"/>
          <c:cat>
            <c:strRef>
              <c:f>'Payment Status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'Payment Status Analysis'!$C$5:$C$17</c:f>
              <c:numCache>
                <c:formatCode>General</c:formatCode>
                <c:ptCount val="12"/>
                <c:pt idx="0">
                  <c:v>15</c:v>
                </c:pt>
                <c:pt idx="1">
                  <c:v>20</c:v>
                </c:pt>
                <c:pt idx="2">
                  <c:v>18</c:v>
                </c:pt>
                <c:pt idx="3">
                  <c:v>11</c:v>
                </c:pt>
                <c:pt idx="4">
                  <c:v>16</c:v>
                </c:pt>
                <c:pt idx="5">
                  <c:v>12</c:v>
                </c:pt>
                <c:pt idx="6">
                  <c:v>14</c:v>
                </c:pt>
                <c:pt idx="7">
                  <c:v>10</c:v>
                </c:pt>
                <c:pt idx="8">
                  <c:v>13</c:v>
                </c:pt>
                <c:pt idx="9">
                  <c:v>15</c:v>
                </c:pt>
                <c:pt idx="10">
                  <c:v>9</c:v>
                </c:pt>
                <c:pt idx="11">
                  <c:v>16</c:v>
                </c:pt>
              </c:numCache>
            </c:numRef>
          </c:val>
          <c:extLst>
            <c:ext xmlns:c16="http://schemas.microsoft.com/office/drawing/2014/chart" uri="{C3380CC4-5D6E-409C-BE32-E72D297353CC}">
              <c16:uniqueId val="{00000001-60E6-4ED7-90F8-ECF46A523072}"/>
            </c:ext>
          </c:extLst>
        </c:ser>
        <c:ser>
          <c:idx val="2"/>
          <c:order val="2"/>
          <c:tx>
            <c:strRef>
              <c:f>'Payment Status Analysis'!$D$3:$D$4</c:f>
              <c:strCache>
                <c:ptCount val="1"/>
                <c:pt idx="0">
                  <c:v>Pending</c:v>
                </c:pt>
              </c:strCache>
            </c:strRef>
          </c:tx>
          <c:spPr>
            <a:solidFill>
              <a:schemeClr val="accent3"/>
            </a:solidFill>
            <a:ln>
              <a:noFill/>
            </a:ln>
            <a:effectLst/>
          </c:spPr>
          <c:invertIfNegative val="0"/>
          <c:cat>
            <c:strRef>
              <c:f>'Payment Status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'Payment Status Analysis'!$D$5:$D$17</c:f>
              <c:numCache>
                <c:formatCode>General</c:formatCode>
                <c:ptCount val="12"/>
                <c:pt idx="0">
                  <c:v>21</c:v>
                </c:pt>
                <c:pt idx="1">
                  <c:v>16</c:v>
                </c:pt>
                <c:pt idx="2">
                  <c:v>15</c:v>
                </c:pt>
                <c:pt idx="3">
                  <c:v>11</c:v>
                </c:pt>
                <c:pt idx="4">
                  <c:v>11</c:v>
                </c:pt>
                <c:pt idx="5">
                  <c:v>19</c:v>
                </c:pt>
                <c:pt idx="6">
                  <c:v>14</c:v>
                </c:pt>
                <c:pt idx="7">
                  <c:v>17</c:v>
                </c:pt>
                <c:pt idx="8">
                  <c:v>10</c:v>
                </c:pt>
                <c:pt idx="9">
                  <c:v>14</c:v>
                </c:pt>
                <c:pt idx="10">
                  <c:v>12</c:v>
                </c:pt>
                <c:pt idx="11">
                  <c:v>15</c:v>
                </c:pt>
              </c:numCache>
            </c:numRef>
          </c:val>
          <c:extLst>
            <c:ext xmlns:c16="http://schemas.microsoft.com/office/drawing/2014/chart" uri="{C3380CC4-5D6E-409C-BE32-E72D297353CC}">
              <c16:uniqueId val="{00000002-60E6-4ED7-90F8-ECF46A523072}"/>
            </c:ext>
          </c:extLst>
        </c:ser>
        <c:dLbls>
          <c:showLegendKey val="0"/>
          <c:showVal val="0"/>
          <c:showCatName val="0"/>
          <c:showSerName val="0"/>
          <c:showPercent val="0"/>
          <c:showBubbleSize val="0"/>
        </c:dLbls>
        <c:gapWidth val="150"/>
        <c:overlap val="100"/>
        <c:axId val="1667181360"/>
        <c:axId val="1667183760"/>
      </c:barChart>
      <c:catAx>
        <c:axId val="166718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83760"/>
        <c:crosses val="autoZero"/>
        <c:auto val="1"/>
        <c:lblAlgn val="ctr"/>
        <c:lblOffset val="100"/>
        <c:noMultiLvlLbl val="0"/>
      </c:catAx>
      <c:valAx>
        <c:axId val="166718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81360"/>
        <c:crosses val="autoZero"/>
        <c:crossBetween val="between"/>
      </c:valAx>
      <c:spPr>
        <a:noFill/>
        <a:ln>
          <a:noFill/>
        </a:ln>
        <a:effectLst/>
      </c:spPr>
    </c:plotArea>
    <c:legend>
      <c:legendPos val="r"/>
      <c:layout>
        <c:manualLayout>
          <c:xMode val="edge"/>
          <c:yMode val="edge"/>
          <c:x val="0.74791666666666667"/>
          <c:y val="2.0683143773694956E-2"/>
          <c:w val="0.21319444444444446"/>
          <c:h val="0.23219852726742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[Procurement_Spend &amp; Performance Dashboard.xlsx]Deliver Delay Analysis!PivotTable9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Delay Analysis</a:t>
            </a:r>
            <a:endParaRPr lang="en-US"/>
          </a:p>
        </c:rich>
      </c:tx>
      <c:layout>
        <c:manualLayout>
          <c:xMode val="edge"/>
          <c:yMode val="edge"/>
          <c:x val="0.36255947173270009"/>
          <c:y val="9.1571754888105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73403324584428E-2"/>
          <c:y val="0.19384040536599587"/>
          <c:w val="0.88267104111986006"/>
          <c:h val="0.42597550306211723"/>
        </c:manualLayout>
      </c:layout>
      <c:barChart>
        <c:barDir val="col"/>
        <c:grouping val="clustered"/>
        <c:varyColors val="0"/>
        <c:ser>
          <c:idx val="0"/>
          <c:order val="0"/>
          <c:tx>
            <c:strRef>
              <c:f>'Deliver Delay Analysis'!$B$3</c:f>
              <c:strCache>
                <c:ptCount val="1"/>
                <c:pt idx="0">
                  <c:v>Total</c:v>
                </c:pt>
              </c:strCache>
            </c:strRef>
          </c:tx>
          <c:spPr>
            <a:solidFill>
              <a:schemeClr val="accent1"/>
            </a:solidFill>
            <a:ln>
              <a:noFill/>
            </a:ln>
            <a:effectLst/>
          </c:spPr>
          <c:invertIfNegative val="0"/>
          <c:cat>
            <c:strRef>
              <c:f>'Deliver Delay Analysis'!$A$4:$A$14</c:f>
              <c:strCache>
                <c:ptCount val="10"/>
                <c:pt idx="0">
                  <c:v>ABC Packaging</c:v>
                </c:pt>
                <c:pt idx="1">
                  <c:v>Delta Packaging</c:v>
                </c:pt>
                <c:pt idx="2">
                  <c:v>Elite Vendors</c:v>
                </c:pt>
                <c:pt idx="3">
                  <c:v>Global Logistics</c:v>
                </c:pt>
                <c:pt idx="4">
                  <c:v>Nova Industries</c:v>
                </c:pt>
                <c:pt idx="5">
                  <c:v>Prime Materials</c:v>
                </c:pt>
                <c:pt idx="6">
                  <c:v>Rapid Transport</c:v>
                </c:pt>
                <c:pt idx="7">
                  <c:v>Skyline Traders</c:v>
                </c:pt>
                <c:pt idx="8">
                  <c:v>Vertex Solutions</c:v>
                </c:pt>
                <c:pt idx="9">
                  <c:v>Vision Supplies</c:v>
                </c:pt>
              </c:strCache>
            </c:strRef>
          </c:cat>
          <c:val>
            <c:numRef>
              <c:f>'Deliver Delay Analysis'!$B$4:$B$14</c:f>
              <c:numCache>
                <c:formatCode>General</c:formatCode>
                <c:ptCount val="10"/>
                <c:pt idx="0">
                  <c:v>7.1020408163265305</c:v>
                </c:pt>
                <c:pt idx="1">
                  <c:v>7.1964285714285712</c:v>
                </c:pt>
                <c:pt idx="2">
                  <c:v>7.2448979591836737</c:v>
                </c:pt>
                <c:pt idx="3">
                  <c:v>7.479166666666667</c:v>
                </c:pt>
                <c:pt idx="4">
                  <c:v>7.0754716981132075</c:v>
                </c:pt>
                <c:pt idx="5">
                  <c:v>8.1777777777777771</c:v>
                </c:pt>
                <c:pt idx="6">
                  <c:v>7.7368421052631575</c:v>
                </c:pt>
                <c:pt idx="7">
                  <c:v>7.365384615384615</c:v>
                </c:pt>
                <c:pt idx="8">
                  <c:v>7.9787234042553195</c:v>
                </c:pt>
                <c:pt idx="9">
                  <c:v>6.8181818181818183</c:v>
                </c:pt>
              </c:numCache>
            </c:numRef>
          </c:val>
          <c:extLst>
            <c:ext xmlns:c16="http://schemas.microsoft.com/office/drawing/2014/chart" uri="{C3380CC4-5D6E-409C-BE32-E72D297353CC}">
              <c16:uniqueId val="{00000000-1ED1-43C9-810F-0C24ABDC5356}"/>
            </c:ext>
          </c:extLst>
        </c:ser>
        <c:dLbls>
          <c:showLegendKey val="0"/>
          <c:showVal val="0"/>
          <c:showCatName val="0"/>
          <c:showSerName val="0"/>
          <c:showPercent val="0"/>
          <c:showBubbleSize val="0"/>
        </c:dLbls>
        <c:gapWidth val="219"/>
        <c:overlap val="-27"/>
        <c:axId val="1667146320"/>
        <c:axId val="1667137200"/>
      </c:barChart>
      <c:catAx>
        <c:axId val="166714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37200"/>
        <c:crosses val="autoZero"/>
        <c:auto val="1"/>
        <c:lblAlgn val="ctr"/>
        <c:lblOffset val="100"/>
        <c:noMultiLvlLbl val="0"/>
      </c:catAx>
      <c:valAx>
        <c:axId val="166713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4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[Procurement_Spend &amp; Performance Dashboard.xlsx]Supplier-wise Spend!PivotTable6</c:name>
    <c:fmtId val="4"/>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US" sz="1600">
                <a:solidFill>
                  <a:schemeClr val="tx2">
                    <a:lumMod val="50000"/>
                  </a:schemeClr>
                </a:solidFill>
              </a:rPr>
              <a:t>Supplier-wise</a:t>
            </a:r>
            <a:r>
              <a:rPr lang="en-US" sz="1600" baseline="0">
                <a:solidFill>
                  <a:schemeClr val="tx2">
                    <a:lumMod val="50000"/>
                  </a:schemeClr>
                </a:solidFill>
              </a:rPr>
              <a:t> Spend</a:t>
            </a:r>
            <a:endParaRPr lang="en-US" sz="1600">
              <a:solidFill>
                <a:schemeClr val="tx2">
                  <a:lumMod val="50000"/>
                </a:schemeClr>
              </a:solidFill>
            </a:endParaRPr>
          </a:p>
        </c:rich>
      </c:tx>
      <c:layout>
        <c:manualLayout>
          <c:xMode val="edge"/>
          <c:yMode val="edge"/>
          <c:x val="0.34251688970493038"/>
          <c:y val="3.75898040117248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15510692311002108"/>
          <c:y val="0.17354014598540146"/>
          <c:w val="0.83075120650241296"/>
          <c:h val="0.39859953637182216"/>
        </c:manualLayout>
      </c:layout>
      <c:barChart>
        <c:barDir val="col"/>
        <c:grouping val="clustered"/>
        <c:varyColors val="0"/>
        <c:ser>
          <c:idx val="0"/>
          <c:order val="0"/>
          <c:tx>
            <c:strRef>
              <c:f>'Supplier-wise Spend'!$B$3</c:f>
              <c:strCache>
                <c:ptCount val="1"/>
                <c:pt idx="0">
                  <c:v>Total</c:v>
                </c:pt>
              </c:strCache>
            </c:strRef>
          </c:tx>
          <c:spPr>
            <a:solidFill>
              <a:schemeClr val="accent1"/>
            </a:solidFill>
            <a:ln>
              <a:noFill/>
            </a:ln>
            <a:effectLst/>
          </c:spPr>
          <c:invertIfNegative val="0"/>
          <c:cat>
            <c:strRef>
              <c:f>'Supplier-wise Spend'!$A$4:$A$14</c:f>
              <c:strCache>
                <c:ptCount val="10"/>
                <c:pt idx="0">
                  <c:v>ABC Packaging</c:v>
                </c:pt>
                <c:pt idx="1">
                  <c:v>Nova Industries</c:v>
                </c:pt>
                <c:pt idx="2">
                  <c:v>Delta Packaging</c:v>
                </c:pt>
                <c:pt idx="3">
                  <c:v>Rapid Transport</c:v>
                </c:pt>
                <c:pt idx="4">
                  <c:v>Global Logistics</c:v>
                </c:pt>
                <c:pt idx="5">
                  <c:v>Elite Vendors</c:v>
                </c:pt>
                <c:pt idx="6">
                  <c:v>Skyline Traders</c:v>
                </c:pt>
                <c:pt idx="7">
                  <c:v>Vision Supplies</c:v>
                </c:pt>
                <c:pt idx="8">
                  <c:v>Vertex Solutions</c:v>
                </c:pt>
                <c:pt idx="9">
                  <c:v>Prime Materials</c:v>
                </c:pt>
              </c:strCache>
            </c:strRef>
          </c:cat>
          <c:val>
            <c:numRef>
              <c:f>'Supplier-wise Spend'!$B$4:$B$14</c:f>
              <c:numCache>
                <c:formatCode>General</c:formatCode>
                <c:ptCount val="10"/>
                <c:pt idx="0">
                  <c:v>4242805</c:v>
                </c:pt>
                <c:pt idx="1">
                  <c:v>4228792</c:v>
                </c:pt>
                <c:pt idx="2">
                  <c:v>4207300</c:v>
                </c:pt>
                <c:pt idx="3">
                  <c:v>4165130</c:v>
                </c:pt>
                <c:pt idx="4">
                  <c:v>4092150</c:v>
                </c:pt>
                <c:pt idx="5">
                  <c:v>3960863</c:v>
                </c:pt>
                <c:pt idx="6">
                  <c:v>3758482</c:v>
                </c:pt>
                <c:pt idx="7">
                  <c:v>3454994</c:v>
                </c:pt>
                <c:pt idx="8">
                  <c:v>3371981</c:v>
                </c:pt>
                <c:pt idx="9">
                  <c:v>3186808</c:v>
                </c:pt>
              </c:numCache>
            </c:numRef>
          </c:val>
          <c:extLst>
            <c:ext xmlns:c16="http://schemas.microsoft.com/office/drawing/2014/chart" uri="{C3380CC4-5D6E-409C-BE32-E72D297353CC}">
              <c16:uniqueId val="{00000000-3CD5-4D83-A1CE-80695C43C843}"/>
            </c:ext>
          </c:extLst>
        </c:ser>
        <c:dLbls>
          <c:showLegendKey val="0"/>
          <c:showVal val="0"/>
          <c:showCatName val="0"/>
          <c:showSerName val="0"/>
          <c:showPercent val="0"/>
          <c:showBubbleSize val="0"/>
        </c:dLbls>
        <c:gapWidth val="219"/>
        <c:overlap val="-27"/>
        <c:axId val="1667167440"/>
        <c:axId val="1667187600"/>
      </c:barChart>
      <c:catAx>
        <c:axId val="1667167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Supplier</a:t>
                </a:r>
                <a:r>
                  <a:rPr lang="en-IN" baseline="0"/>
                  <a:t> Name</a:t>
                </a:r>
                <a:endParaRPr lang="en-IN"/>
              </a:p>
            </c:rich>
          </c:tx>
          <c:layout>
            <c:manualLayout>
              <c:xMode val="edge"/>
              <c:yMode val="edge"/>
              <c:x val="0.43770933875201085"/>
              <c:y val="0.907511925972757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87600"/>
        <c:crosses val="autoZero"/>
        <c:auto val="1"/>
        <c:lblAlgn val="ctr"/>
        <c:lblOffset val="100"/>
        <c:noMultiLvlLbl val="0"/>
      </c:catAx>
      <c:valAx>
        <c:axId val="1667187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Spend</a:t>
                </a:r>
                <a:r>
                  <a:rPr lang="en-IN" baseline="0"/>
                  <a:t> Amount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6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[Procurement_Spend &amp; Performance Dashboard.xlsx]Monthly Spend Trend!PivotTable5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2">
                    <a:lumMod val="50000"/>
                  </a:schemeClr>
                </a:solidFill>
              </a:rPr>
              <a:t>Monthly</a:t>
            </a:r>
            <a:r>
              <a:rPr lang="en-US" sz="1600" baseline="0">
                <a:solidFill>
                  <a:schemeClr val="tx2">
                    <a:lumMod val="50000"/>
                  </a:schemeClr>
                </a:solidFill>
              </a:rPr>
              <a:t> Spend Trend</a:t>
            </a:r>
            <a:endParaRPr lang="en-US" sz="1600">
              <a:solidFill>
                <a:schemeClr val="tx2">
                  <a:lumMod val="50000"/>
                </a:schemeClr>
              </a:solidFill>
            </a:endParaRPr>
          </a:p>
        </c:rich>
      </c:tx>
      <c:layout>
        <c:manualLayout>
          <c:xMode val="edge"/>
          <c:yMode val="edge"/>
          <c:x val="0.32768268411812762"/>
          <c:y val="3.8724926719926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manualLayout>
          <c:layoutTarget val="inner"/>
          <c:xMode val="edge"/>
          <c:yMode val="edge"/>
          <c:x val="0.1845118708695615"/>
          <c:y val="0.24045012165450122"/>
          <c:w val="0.77748595757777839"/>
          <c:h val="0.50770494472862426"/>
        </c:manualLayout>
      </c:layout>
      <c:lineChart>
        <c:grouping val="standard"/>
        <c:varyColors val="0"/>
        <c:ser>
          <c:idx val="0"/>
          <c:order val="0"/>
          <c:tx>
            <c:strRef>
              <c:f>'Monthly Spend Trend'!$B$3</c:f>
              <c:strCache>
                <c:ptCount val="1"/>
                <c:pt idx="0">
                  <c:v>Total</c:v>
                </c:pt>
              </c:strCache>
            </c:strRef>
          </c:tx>
          <c:spPr>
            <a:ln w="28575" cap="rnd">
              <a:solidFill>
                <a:schemeClr val="accent1"/>
              </a:solidFill>
              <a:round/>
            </a:ln>
            <a:effectLst/>
          </c:spPr>
          <c:marker>
            <c:symbol val="none"/>
          </c:marker>
          <c:cat>
            <c:strRef>
              <c:f>'Monthly Spend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Spend Trend'!$B$4:$B$16</c:f>
              <c:numCache>
                <c:formatCode>General</c:formatCode>
                <c:ptCount val="12"/>
                <c:pt idx="0">
                  <c:v>3900158</c:v>
                </c:pt>
                <c:pt idx="1">
                  <c:v>3941084</c:v>
                </c:pt>
                <c:pt idx="2">
                  <c:v>2862565</c:v>
                </c:pt>
                <c:pt idx="3">
                  <c:v>2228122</c:v>
                </c:pt>
                <c:pt idx="4">
                  <c:v>3503650</c:v>
                </c:pt>
                <c:pt idx="5">
                  <c:v>3523180</c:v>
                </c:pt>
                <c:pt idx="6">
                  <c:v>3165451</c:v>
                </c:pt>
                <c:pt idx="7">
                  <c:v>3679836</c:v>
                </c:pt>
                <c:pt idx="8">
                  <c:v>2897279</c:v>
                </c:pt>
                <c:pt idx="9">
                  <c:v>2581917</c:v>
                </c:pt>
                <c:pt idx="10">
                  <c:v>3190752</c:v>
                </c:pt>
                <c:pt idx="11">
                  <c:v>3195311</c:v>
                </c:pt>
              </c:numCache>
            </c:numRef>
          </c:val>
          <c:smooth val="0"/>
          <c:extLst>
            <c:ext xmlns:c16="http://schemas.microsoft.com/office/drawing/2014/chart" uri="{C3380CC4-5D6E-409C-BE32-E72D297353CC}">
              <c16:uniqueId val="{00000000-309C-49EE-B417-7680704DF345}"/>
            </c:ext>
          </c:extLst>
        </c:ser>
        <c:dLbls>
          <c:dLblPos val="t"/>
          <c:showLegendKey val="0"/>
          <c:showVal val="0"/>
          <c:showCatName val="0"/>
          <c:showSerName val="0"/>
          <c:showPercent val="0"/>
          <c:showBubbleSize val="0"/>
        </c:dLbls>
        <c:smooth val="0"/>
        <c:axId val="1667177040"/>
        <c:axId val="1667198160"/>
      </c:lineChart>
      <c:catAx>
        <c:axId val="1667177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7711103578940051"/>
              <c:y val="0.877098300668620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98160"/>
        <c:crosses val="autoZero"/>
        <c:auto val="1"/>
        <c:lblAlgn val="ctr"/>
        <c:lblOffset val="100"/>
        <c:noMultiLvlLbl val="0"/>
      </c:catAx>
      <c:valAx>
        <c:axId val="1667198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Spend</a:t>
                </a:r>
                <a:r>
                  <a:rPr lang="en-IN" baseline="0"/>
                  <a:t> Amount</a:t>
                </a:r>
                <a:endParaRPr lang="en-IN"/>
              </a:p>
            </c:rich>
          </c:tx>
          <c:layout>
            <c:manualLayout>
              <c:xMode val="edge"/>
              <c:yMode val="edge"/>
              <c:x val="1.3302610766369436E-2"/>
              <c:y val="0.276830086020269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7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[Procurement_Spend &amp; Performance Dashboard.xlsx]Category-wise Spend!PivotTable7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2">
                    <a:lumMod val="50000"/>
                  </a:schemeClr>
                </a:solidFill>
              </a:rPr>
              <a:t>Category-wise Spend</a:t>
            </a:r>
          </a:p>
        </c:rich>
      </c:tx>
      <c:layout>
        <c:manualLayout>
          <c:xMode val="edge"/>
          <c:yMode val="edge"/>
          <c:x val="0.34925"/>
          <c:y val="2.76699567483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17891513560804"/>
          <c:y val="0.18008771421954609"/>
          <c:w val="0.67682108486439196"/>
          <c:h val="0.59335464164540408"/>
        </c:manualLayout>
      </c:layout>
      <c:barChart>
        <c:barDir val="bar"/>
        <c:grouping val="clustered"/>
        <c:varyColors val="0"/>
        <c:ser>
          <c:idx val="0"/>
          <c:order val="0"/>
          <c:tx>
            <c:strRef>
              <c:f>'Category-wise Spend'!$B$3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'Category-wise Spend'!$A$4:$A$10</c:f>
              <c:strCache>
                <c:ptCount val="6"/>
                <c:pt idx="0">
                  <c:v>Logistics</c:v>
                </c:pt>
                <c:pt idx="1">
                  <c:v>Maintenance</c:v>
                </c:pt>
                <c:pt idx="2">
                  <c:v>Office Supplies</c:v>
                </c:pt>
                <c:pt idx="3">
                  <c:v>Packaging</c:v>
                </c:pt>
                <c:pt idx="4">
                  <c:v>Raw Material</c:v>
                </c:pt>
                <c:pt idx="5">
                  <c:v>Transportation</c:v>
                </c:pt>
              </c:strCache>
            </c:strRef>
          </c:cat>
          <c:val>
            <c:numRef>
              <c:f>'Category-wise Spend'!$B$4:$B$10</c:f>
              <c:numCache>
                <c:formatCode>General</c:formatCode>
                <c:ptCount val="6"/>
                <c:pt idx="0">
                  <c:v>6950084</c:v>
                </c:pt>
                <c:pt idx="1">
                  <c:v>6793872</c:v>
                </c:pt>
                <c:pt idx="2">
                  <c:v>5703725</c:v>
                </c:pt>
                <c:pt idx="3">
                  <c:v>7171911</c:v>
                </c:pt>
                <c:pt idx="4">
                  <c:v>6377567</c:v>
                </c:pt>
                <c:pt idx="5">
                  <c:v>5672146</c:v>
                </c:pt>
              </c:numCache>
            </c:numRef>
          </c:val>
          <c:extLst>
            <c:ext xmlns:c16="http://schemas.microsoft.com/office/drawing/2014/chart" uri="{C3380CC4-5D6E-409C-BE32-E72D297353CC}">
              <c16:uniqueId val="{00000000-A599-4FC9-9F65-3B38036DC6C7}"/>
            </c:ext>
          </c:extLst>
        </c:ser>
        <c:dLbls>
          <c:dLblPos val="outEnd"/>
          <c:showLegendKey val="0"/>
          <c:showVal val="1"/>
          <c:showCatName val="0"/>
          <c:showSerName val="0"/>
          <c:showPercent val="0"/>
          <c:showBubbleSize val="0"/>
        </c:dLbls>
        <c:gapWidth val="150"/>
        <c:axId val="1667157840"/>
        <c:axId val="1667144400"/>
      </c:barChart>
      <c:valAx>
        <c:axId val="1667144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Spend</a:t>
                </a:r>
                <a:r>
                  <a:rPr lang="en-IN" baseline="0"/>
                  <a:t> Amount</a:t>
                </a:r>
                <a:endParaRPr lang="en-IN"/>
              </a:p>
            </c:rich>
          </c:tx>
          <c:layout>
            <c:manualLayout>
              <c:xMode val="edge"/>
              <c:yMode val="edge"/>
              <c:x val="0.36341579177602801"/>
              <c:y val="0.89784527374219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57840"/>
        <c:crosses val="autoZero"/>
        <c:crossBetween val="between"/>
      </c:valAx>
      <c:catAx>
        <c:axId val="1667157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444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[Procurement_Spend &amp; Performance Dashboard.xlsx]Payment Status Analysis!PivotTable8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tx2">
                    <a:lumMod val="50000"/>
                  </a:schemeClr>
                </a:solidFill>
              </a:rPr>
              <a:t>Payment</a:t>
            </a:r>
            <a:r>
              <a:rPr lang="en-IN" sz="1600" baseline="0">
                <a:solidFill>
                  <a:schemeClr val="tx2">
                    <a:lumMod val="50000"/>
                  </a:schemeClr>
                </a:solidFill>
              </a:rPr>
              <a:t> Status Analysis</a:t>
            </a:r>
            <a:endParaRPr lang="en-IN" sz="1600">
              <a:solidFill>
                <a:schemeClr val="tx2">
                  <a:lumMod val="50000"/>
                </a:schemeClr>
              </a:solidFill>
            </a:endParaRPr>
          </a:p>
        </c:rich>
      </c:tx>
      <c:layout>
        <c:manualLayout>
          <c:xMode val="edge"/>
          <c:yMode val="edge"/>
          <c:x val="0.29365356883063848"/>
          <c:y val="5.1730989612213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92133215925014E-2"/>
          <c:y val="0.23765317828648902"/>
          <c:w val="0.88658524653624138"/>
          <c:h val="0.58404017206182557"/>
        </c:manualLayout>
      </c:layout>
      <c:barChart>
        <c:barDir val="col"/>
        <c:grouping val="stacked"/>
        <c:varyColors val="0"/>
        <c:ser>
          <c:idx val="0"/>
          <c:order val="0"/>
          <c:tx>
            <c:strRef>
              <c:f>'Payment Status Analysis'!$B$3:$B$4</c:f>
              <c:strCache>
                <c:ptCount val="1"/>
                <c:pt idx="0">
                  <c:v>Overdue</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'Payment Status Analysis'!$B$5:$B$17</c:f>
              <c:numCache>
                <c:formatCode>General</c:formatCode>
                <c:ptCount val="12"/>
                <c:pt idx="0">
                  <c:v>10</c:v>
                </c:pt>
                <c:pt idx="1">
                  <c:v>14</c:v>
                </c:pt>
                <c:pt idx="2">
                  <c:v>11</c:v>
                </c:pt>
                <c:pt idx="3">
                  <c:v>10</c:v>
                </c:pt>
                <c:pt idx="4">
                  <c:v>20</c:v>
                </c:pt>
                <c:pt idx="5">
                  <c:v>16</c:v>
                </c:pt>
                <c:pt idx="6">
                  <c:v>12</c:v>
                </c:pt>
                <c:pt idx="7">
                  <c:v>20</c:v>
                </c:pt>
                <c:pt idx="8">
                  <c:v>12</c:v>
                </c:pt>
                <c:pt idx="9">
                  <c:v>4</c:v>
                </c:pt>
                <c:pt idx="10">
                  <c:v>17</c:v>
                </c:pt>
                <c:pt idx="11">
                  <c:v>10</c:v>
                </c:pt>
              </c:numCache>
            </c:numRef>
          </c:val>
          <c:extLst>
            <c:ext xmlns:c16="http://schemas.microsoft.com/office/drawing/2014/chart" uri="{C3380CC4-5D6E-409C-BE32-E72D297353CC}">
              <c16:uniqueId val="{00000000-6450-4E62-93C1-F556CB5346F5}"/>
            </c:ext>
          </c:extLst>
        </c:ser>
        <c:ser>
          <c:idx val="1"/>
          <c:order val="1"/>
          <c:tx>
            <c:strRef>
              <c:f>'Payment Status Analysis'!$C$3:$C$4</c:f>
              <c:strCache>
                <c:ptCount val="1"/>
                <c:pt idx="0">
                  <c:v>Paid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'Payment Status Analysis'!$C$5:$C$17</c:f>
              <c:numCache>
                <c:formatCode>General</c:formatCode>
                <c:ptCount val="12"/>
                <c:pt idx="0">
                  <c:v>15</c:v>
                </c:pt>
                <c:pt idx="1">
                  <c:v>20</c:v>
                </c:pt>
                <c:pt idx="2">
                  <c:v>18</c:v>
                </c:pt>
                <c:pt idx="3">
                  <c:v>11</c:v>
                </c:pt>
                <c:pt idx="4">
                  <c:v>16</c:v>
                </c:pt>
                <c:pt idx="5">
                  <c:v>12</c:v>
                </c:pt>
                <c:pt idx="6">
                  <c:v>14</c:v>
                </c:pt>
                <c:pt idx="7">
                  <c:v>10</c:v>
                </c:pt>
                <c:pt idx="8">
                  <c:v>13</c:v>
                </c:pt>
                <c:pt idx="9">
                  <c:v>15</c:v>
                </c:pt>
                <c:pt idx="10">
                  <c:v>9</c:v>
                </c:pt>
                <c:pt idx="11">
                  <c:v>16</c:v>
                </c:pt>
              </c:numCache>
            </c:numRef>
          </c:val>
          <c:extLst>
            <c:ext xmlns:c16="http://schemas.microsoft.com/office/drawing/2014/chart" uri="{C3380CC4-5D6E-409C-BE32-E72D297353CC}">
              <c16:uniqueId val="{00000001-6450-4E62-93C1-F556CB5346F5}"/>
            </c:ext>
          </c:extLst>
        </c:ser>
        <c:ser>
          <c:idx val="2"/>
          <c:order val="2"/>
          <c:tx>
            <c:strRef>
              <c:f>'Payment Status Analysis'!$D$3:$D$4</c:f>
              <c:strCache>
                <c:ptCount val="1"/>
                <c:pt idx="0">
                  <c:v>Pending</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'Payment Status Analysis'!$D$5:$D$17</c:f>
              <c:numCache>
                <c:formatCode>General</c:formatCode>
                <c:ptCount val="12"/>
                <c:pt idx="0">
                  <c:v>21</c:v>
                </c:pt>
                <c:pt idx="1">
                  <c:v>16</c:v>
                </c:pt>
                <c:pt idx="2">
                  <c:v>15</c:v>
                </c:pt>
                <c:pt idx="3">
                  <c:v>11</c:v>
                </c:pt>
                <c:pt idx="4">
                  <c:v>11</c:v>
                </c:pt>
                <c:pt idx="5">
                  <c:v>19</c:v>
                </c:pt>
                <c:pt idx="6">
                  <c:v>14</c:v>
                </c:pt>
                <c:pt idx="7">
                  <c:v>17</c:v>
                </c:pt>
                <c:pt idx="8">
                  <c:v>10</c:v>
                </c:pt>
                <c:pt idx="9">
                  <c:v>14</c:v>
                </c:pt>
                <c:pt idx="10">
                  <c:v>12</c:v>
                </c:pt>
                <c:pt idx="11">
                  <c:v>15</c:v>
                </c:pt>
              </c:numCache>
            </c:numRef>
          </c:val>
          <c:extLst>
            <c:ext xmlns:c16="http://schemas.microsoft.com/office/drawing/2014/chart" uri="{C3380CC4-5D6E-409C-BE32-E72D297353CC}">
              <c16:uniqueId val="{00000002-6450-4E62-93C1-F556CB5346F5}"/>
            </c:ext>
          </c:extLst>
        </c:ser>
        <c:dLbls>
          <c:dLblPos val="ctr"/>
          <c:showLegendKey val="0"/>
          <c:showVal val="1"/>
          <c:showCatName val="0"/>
          <c:showSerName val="0"/>
          <c:showPercent val="0"/>
          <c:showBubbleSize val="0"/>
        </c:dLbls>
        <c:gapWidth val="150"/>
        <c:overlap val="100"/>
        <c:axId val="1667181360"/>
        <c:axId val="1667183760"/>
      </c:barChart>
      <c:catAx>
        <c:axId val="1667181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83760"/>
        <c:crosses val="autoZero"/>
        <c:auto val="1"/>
        <c:lblAlgn val="ctr"/>
        <c:lblOffset val="100"/>
        <c:noMultiLvlLbl val="0"/>
      </c:catAx>
      <c:valAx>
        <c:axId val="1667183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Transaction</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81360"/>
        <c:crosses val="autoZero"/>
        <c:crossBetween val="between"/>
      </c:valAx>
      <c:spPr>
        <a:noFill/>
        <a:ln>
          <a:noFill/>
        </a:ln>
        <a:effectLst/>
      </c:spPr>
    </c:plotArea>
    <c:legend>
      <c:legendPos val="r"/>
      <c:layout>
        <c:manualLayout>
          <c:xMode val="edge"/>
          <c:yMode val="edge"/>
          <c:x val="0.74791666666666667"/>
          <c:y val="2.0683143773694956E-2"/>
          <c:w val="0.21319444444444446"/>
          <c:h val="0.23219852726742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[Procurement_Spend &amp; Performance Dashboard.xlsx]Deliver Delay Analysis!PivotTable9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2">
                    <a:lumMod val="50000"/>
                  </a:schemeClr>
                </a:solidFill>
              </a:rPr>
              <a:t>Delivery</a:t>
            </a:r>
            <a:r>
              <a:rPr lang="en-US" sz="1600" baseline="0">
                <a:solidFill>
                  <a:schemeClr val="tx2">
                    <a:lumMod val="50000"/>
                  </a:schemeClr>
                </a:solidFill>
              </a:rPr>
              <a:t> Delay Analysis</a:t>
            </a:r>
            <a:endParaRPr lang="en-US" sz="1600">
              <a:solidFill>
                <a:schemeClr val="tx2">
                  <a:lumMod val="50000"/>
                </a:schemeClr>
              </a:solidFill>
            </a:endParaRPr>
          </a:p>
        </c:rich>
      </c:tx>
      <c:layout>
        <c:manualLayout>
          <c:xMode val="edge"/>
          <c:yMode val="edge"/>
          <c:x val="0.3236706036745407"/>
          <c:y val="3.08959378298353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9562554680664"/>
          <c:y val="0.19384040536599587"/>
          <c:w val="0.8604488188976378"/>
          <c:h val="0.36014042952660114"/>
        </c:manualLayout>
      </c:layout>
      <c:barChart>
        <c:barDir val="col"/>
        <c:grouping val="clustered"/>
        <c:varyColors val="0"/>
        <c:ser>
          <c:idx val="0"/>
          <c:order val="0"/>
          <c:tx>
            <c:strRef>
              <c:f>'Deliver Delay Analysis'!$B$3</c:f>
              <c:strCache>
                <c:ptCount val="1"/>
                <c:pt idx="0">
                  <c:v>Total</c:v>
                </c:pt>
              </c:strCache>
            </c:strRef>
          </c:tx>
          <c:spPr>
            <a:solidFill>
              <a:schemeClr val="accent1"/>
            </a:solidFill>
            <a:ln>
              <a:noFill/>
            </a:ln>
            <a:effectLst/>
          </c:spPr>
          <c:invertIfNegative val="0"/>
          <c:cat>
            <c:strRef>
              <c:f>'Deliver Delay Analysis'!$A$4:$A$14</c:f>
              <c:strCache>
                <c:ptCount val="10"/>
                <c:pt idx="0">
                  <c:v>ABC Packaging</c:v>
                </c:pt>
                <c:pt idx="1">
                  <c:v>Delta Packaging</c:v>
                </c:pt>
                <c:pt idx="2">
                  <c:v>Elite Vendors</c:v>
                </c:pt>
                <c:pt idx="3">
                  <c:v>Global Logistics</c:v>
                </c:pt>
                <c:pt idx="4">
                  <c:v>Nova Industries</c:v>
                </c:pt>
                <c:pt idx="5">
                  <c:v>Prime Materials</c:v>
                </c:pt>
                <c:pt idx="6">
                  <c:v>Rapid Transport</c:v>
                </c:pt>
                <c:pt idx="7">
                  <c:v>Skyline Traders</c:v>
                </c:pt>
                <c:pt idx="8">
                  <c:v>Vertex Solutions</c:v>
                </c:pt>
                <c:pt idx="9">
                  <c:v>Vision Supplies</c:v>
                </c:pt>
              </c:strCache>
            </c:strRef>
          </c:cat>
          <c:val>
            <c:numRef>
              <c:f>'Deliver Delay Analysis'!$B$4:$B$14</c:f>
              <c:numCache>
                <c:formatCode>General</c:formatCode>
                <c:ptCount val="10"/>
                <c:pt idx="0">
                  <c:v>7.1020408163265305</c:v>
                </c:pt>
                <c:pt idx="1">
                  <c:v>7.1964285714285712</c:v>
                </c:pt>
                <c:pt idx="2">
                  <c:v>7.2448979591836737</c:v>
                </c:pt>
                <c:pt idx="3">
                  <c:v>7.479166666666667</c:v>
                </c:pt>
                <c:pt idx="4">
                  <c:v>7.0754716981132075</c:v>
                </c:pt>
                <c:pt idx="5">
                  <c:v>8.1777777777777771</c:v>
                </c:pt>
                <c:pt idx="6">
                  <c:v>7.7368421052631575</c:v>
                </c:pt>
                <c:pt idx="7">
                  <c:v>7.365384615384615</c:v>
                </c:pt>
                <c:pt idx="8">
                  <c:v>7.9787234042553195</c:v>
                </c:pt>
                <c:pt idx="9">
                  <c:v>6.8181818181818183</c:v>
                </c:pt>
              </c:numCache>
            </c:numRef>
          </c:val>
          <c:extLst>
            <c:ext xmlns:c16="http://schemas.microsoft.com/office/drawing/2014/chart" uri="{C3380CC4-5D6E-409C-BE32-E72D297353CC}">
              <c16:uniqueId val="{00000000-0BA7-4B76-B5A3-289FB808307A}"/>
            </c:ext>
          </c:extLst>
        </c:ser>
        <c:dLbls>
          <c:showLegendKey val="0"/>
          <c:showVal val="0"/>
          <c:showCatName val="0"/>
          <c:showSerName val="0"/>
          <c:showPercent val="0"/>
          <c:showBubbleSize val="0"/>
        </c:dLbls>
        <c:gapWidth val="219"/>
        <c:overlap val="-27"/>
        <c:axId val="1667146320"/>
        <c:axId val="1667137200"/>
      </c:barChart>
      <c:catAx>
        <c:axId val="166714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Supplier_Name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37200"/>
        <c:crosses val="autoZero"/>
        <c:auto val="1"/>
        <c:lblAlgn val="ctr"/>
        <c:lblOffset val="100"/>
        <c:noMultiLvlLbl val="0"/>
      </c:catAx>
      <c:valAx>
        <c:axId val="1667137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Avg</a:t>
                </a:r>
                <a:r>
                  <a:rPr lang="en-IN" baseline="0"/>
                  <a:t> Delay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4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464820</xdr:colOff>
      <xdr:row>1</xdr:row>
      <xdr:rowOff>148590</xdr:rowOff>
    </xdr:from>
    <xdr:to>
      <xdr:col>10</xdr:col>
      <xdr:colOff>403860</xdr:colOff>
      <xdr:row>16</xdr:row>
      <xdr:rowOff>148590</xdr:rowOff>
    </xdr:to>
    <xdr:graphicFrame macro="">
      <xdr:nvGraphicFramePr>
        <xdr:cNvPr id="2" name="Chart 1">
          <a:extLst>
            <a:ext uri="{FF2B5EF4-FFF2-40B4-BE49-F238E27FC236}">
              <a16:creationId xmlns:a16="http://schemas.microsoft.com/office/drawing/2014/main" id="{20DEA616-E3FE-C940-EE81-5AF044351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129540</xdr:colOff>
      <xdr:row>2</xdr:row>
      <xdr:rowOff>64770</xdr:rowOff>
    </xdr:from>
    <xdr:to>
      <xdr:col>10</xdr:col>
      <xdr:colOff>434340</xdr:colOff>
      <xdr:row>17</xdr:row>
      <xdr:rowOff>64770</xdr:rowOff>
    </xdr:to>
    <xdr:graphicFrame macro="">
      <xdr:nvGraphicFramePr>
        <xdr:cNvPr id="2" name="Chart 1">
          <a:extLst>
            <a:ext uri="{FF2B5EF4-FFF2-40B4-BE49-F238E27FC236}">
              <a16:creationId xmlns:a16="http://schemas.microsoft.com/office/drawing/2014/main" id="{55A78E39-3F54-FCE3-2FC2-A297724A6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441960</xdr:colOff>
      <xdr:row>1</xdr:row>
      <xdr:rowOff>140970</xdr:rowOff>
    </xdr:from>
    <xdr:to>
      <xdr:col>11</xdr:col>
      <xdr:colOff>137160</xdr:colOff>
      <xdr:row>16</xdr:row>
      <xdr:rowOff>140970</xdr:rowOff>
    </xdr:to>
    <xdr:graphicFrame macro="">
      <xdr:nvGraphicFramePr>
        <xdr:cNvPr id="2" name="Chart 1">
          <a:extLst>
            <a:ext uri="{FF2B5EF4-FFF2-40B4-BE49-F238E27FC236}">
              <a16:creationId xmlns:a16="http://schemas.microsoft.com/office/drawing/2014/main" id="{6CC42968-D029-37E2-4927-4ECA88229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373380</xdr:colOff>
      <xdr:row>1</xdr:row>
      <xdr:rowOff>72390</xdr:rowOff>
    </xdr:from>
    <xdr:to>
      <xdr:col>13</xdr:col>
      <xdr:colOff>68580</xdr:colOff>
      <xdr:row>16</xdr:row>
      <xdr:rowOff>72390</xdr:rowOff>
    </xdr:to>
    <xdr:graphicFrame macro="">
      <xdr:nvGraphicFramePr>
        <xdr:cNvPr id="2" name="Chart 1">
          <a:extLst>
            <a:ext uri="{FF2B5EF4-FFF2-40B4-BE49-F238E27FC236}">
              <a16:creationId xmlns:a16="http://schemas.microsoft.com/office/drawing/2014/main" id="{34800BB1-624F-7745-EBED-A8FE6667E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2</xdr:row>
      <xdr:rowOff>133350</xdr:rowOff>
    </xdr:from>
    <xdr:to>
      <xdr:col>10</xdr:col>
      <xdr:colOff>556260</xdr:colOff>
      <xdr:row>16</xdr:row>
      <xdr:rowOff>99060</xdr:rowOff>
    </xdr:to>
    <xdr:graphicFrame macro="">
      <xdr:nvGraphicFramePr>
        <xdr:cNvPr id="2" name="Chart 1">
          <a:extLst>
            <a:ext uri="{FF2B5EF4-FFF2-40B4-BE49-F238E27FC236}">
              <a16:creationId xmlns:a16="http://schemas.microsoft.com/office/drawing/2014/main" id="{467ADC4C-4B9E-8904-9B57-E4D375646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76200</xdr:colOff>
      <xdr:row>10</xdr:row>
      <xdr:rowOff>7620</xdr:rowOff>
    </xdr:from>
    <xdr:to>
      <xdr:col>11</xdr:col>
      <xdr:colOff>213360</xdr:colOff>
      <xdr:row>23</xdr:row>
      <xdr:rowOff>97155</xdr:rowOff>
    </xdr:to>
    <mc:AlternateContent xmlns:mc="http://schemas.openxmlformats.org/markup-compatibility/2006" xmlns:a14="http://schemas.microsoft.com/office/drawing/2010/main">
      <mc:Choice Requires="a14">
        <xdr:graphicFrame macro="">
          <xdr:nvGraphicFramePr>
            <xdr:cNvPr id="3" name="Supplier_Name">
              <a:extLst>
                <a:ext uri="{FF2B5EF4-FFF2-40B4-BE49-F238E27FC236}">
                  <a16:creationId xmlns:a16="http://schemas.microsoft.com/office/drawing/2014/main" id="{F1DAEDC4-E262-7B26-56BE-897DA7EE3EBC}"/>
                </a:ext>
              </a:extLst>
            </xdr:cNvPr>
            <xdr:cNvGraphicFramePr/>
          </xdr:nvGraphicFramePr>
          <xdr:xfrm>
            <a:off x="0" y="0"/>
            <a:ext cx="0" cy="0"/>
          </xdr:xfrm>
          <a:graphic>
            <a:graphicData uri="http://schemas.microsoft.com/office/drawing/2010/slicer">
              <sle:slicer xmlns:sle="http://schemas.microsoft.com/office/drawing/2010/slicer" name="Supplier_Name"/>
            </a:graphicData>
          </a:graphic>
        </xdr:graphicFrame>
      </mc:Choice>
      <mc:Fallback xmlns="">
        <xdr:sp macro="" textlink="">
          <xdr:nvSpPr>
            <xdr:cNvPr id="0" name=""/>
            <xdr:cNvSpPr>
              <a:spLocks noTextEdit="1"/>
            </xdr:cNvSpPr>
          </xdr:nvSpPr>
          <xdr:spPr>
            <a:xfrm>
              <a:off x="7277100" y="1836420"/>
              <a:ext cx="13563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510540</xdr:colOff>
      <xdr:row>11</xdr:row>
      <xdr:rowOff>76201</xdr:rowOff>
    </xdr:from>
    <xdr:to>
      <xdr:col>19</xdr:col>
      <xdr:colOff>60960</xdr:colOff>
      <xdr:row>21</xdr:row>
      <xdr:rowOff>175261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8A73EC18-4AD6-94E1-4A25-AB0B377D9ED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78640" y="2087881"/>
              <a:ext cx="137922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563880</xdr:colOff>
      <xdr:row>1</xdr:row>
      <xdr:rowOff>129541</xdr:rowOff>
    </xdr:from>
    <xdr:to>
      <xdr:col>14</xdr:col>
      <xdr:colOff>541020</xdr:colOff>
      <xdr:row>14</xdr:row>
      <xdr:rowOff>15241</xdr:rowOff>
    </xdr:to>
    <mc:AlternateContent xmlns:mc="http://schemas.openxmlformats.org/markup-compatibility/2006" xmlns:a14="http://schemas.microsoft.com/office/drawing/2010/main">
      <mc:Choice Requires="a14">
        <xdr:graphicFrame macro="">
          <xdr:nvGraphicFramePr>
            <xdr:cNvPr id="5" name="               ">
              <a:extLst>
                <a:ext uri="{FF2B5EF4-FFF2-40B4-BE49-F238E27FC236}">
                  <a16:creationId xmlns:a16="http://schemas.microsoft.com/office/drawing/2014/main" id="{59715D45-9820-2275-4BA1-D8D1E390C397}"/>
                </a:ext>
              </a:extLst>
            </xdr:cNvPr>
            <xdr:cNvGraphicFramePr/>
          </xdr:nvGraphicFramePr>
          <xdr:xfrm>
            <a:off x="0" y="0"/>
            <a:ext cx="0" cy="0"/>
          </xdr:xfrm>
          <a:graphic>
            <a:graphicData uri="http://schemas.microsoft.com/office/drawing/2010/slicer">
              <sle:slicer xmlns:sle="http://schemas.microsoft.com/office/drawing/2010/slicer" name="               "/>
            </a:graphicData>
          </a:graphic>
        </xdr:graphicFrame>
      </mc:Choice>
      <mc:Fallback xmlns="">
        <xdr:sp macro="" textlink="">
          <xdr:nvSpPr>
            <xdr:cNvPr id="0" name=""/>
            <xdr:cNvSpPr>
              <a:spLocks noTextEdit="1"/>
            </xdr:cNvSpPr>
          </xdr:nvSpPr>
          <xdr:spPr>
            <a:xfrm>
              <a:off x="9593580" y="312421"/>
              <a:ext cx="1196340" cy="2263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3</xdr:row>
      <xdr:rowOff>7621</xdr:rowOff>
    </xdr:from>
    <xdr:to>
      <xdr:col>17</xdr:col>
      <xdr:colOff>137160</xdr:colOff>
      <xdr:row>9</xdr:row>
      <xdr:rowOff>129540</xdr:rowOff>
    </xdr:to>
    <mc:AlternateContent xmlns:mc="http://schemas.openxmlformats.org/markup-compatibility/2006" xmlns:a14="http://schemas.microsoft.com/office/drawing/2010/main">
      <mc:Choice Requires="a14">
        <xdr:graphicFrame macro="">
          <xdr:nvGraphicFramePr>
            <xdr:cNvPr id="6" name="Contract_Status">
              <a:extLst>
                <a:ext uri="{FF2B5EF4-FFF2-40B4-BE49-F238E27FC236}">
                  <a16:creationId xmlns:a16="http://schemas.microsoft.com/office/drawing/2014/main" id="{7490C698-301B-DD2E-1C73-C38F9143AD05}"/>
                </a:ext>
              </a:extLst>
            </xdr:cNvPr>
            <xdr:cNvGraphicFramePr/>
          </xdr:nvGraphicFramePr>
          <xdr:xfrm>
            <a:off x="0" y="0"/>
            <a:ext cx="0" cy="0"/>
          </xdr:xfrm>
          <a:graphic>
            <a:graphicData uri="http://schemas.microsoft.com/office/drawing/2010/slicer">
              <sle:slicer xmlns:sle="http://schemas.microsoft.com/office/drawing/2010/slicer" name="Contract_Status"/>
            </a:graphicData>
          </a:graphic>
        </xdr:graphicFrame>
      </mc:Choice>
      <mc:Fallback xmlns="">
        <xdr:sp macro="" textlink="">
          <xdr:nvSpPr>
            <xdr:cNvPr id="0" name=""/>
            <xdr:cNvSpPr>
              <a:spLocks noTextEdit="1"/>
            </xdr:cNvSpPr>
          </xdr:nvSpPr>
          <xdr:spPr>
            <a:xfrm>
              <a:off x="11049000" y="556261"/>
              <a:ext cx="116586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243840</xdr:colOff>
      <xdr:row>0</xdr:row>
      <xdr:rowOff>53340</xdr:rowOff>
    </xdr:from>
    <xdr:to>
      <xdr:col>2</xdr:col>
      <xdr:colOff>281940</xdr:colOff>
      <xdr:row>2</xdr:row>
      <xdr:rowOff>129540</xdr:rowOff>
    </xdr:to>
    <xdr:sp macro="" textlink="">
      <xdr:nvSpPr>
        <xdr:cNvPr id="2" name="TextBox 1">
          <a:extLst>
            <a:ext uri="{FF2B5EF4-FFF2-40B4-BE49-F238E27FC236}">
              <a16:creationId xmlns:a16="http://schemas.microsoft.com/office/drawing/2014/main" id="{AA4F3FB3-14FD-AE1E-81D0-08A85F04F73D}"/>
            </a:ext>
          </a:extLst>
        </xdr:cNvPr>
        <xdr:cNvSpPr txBox="1"/>
      </xdr:nvSpPr>
      <xdr:spPr>
        <a:xfrm>
          <a:off x="1508760" y="53340"/>
          <a:ext cx="134874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tx2">
                  <a:lumMod val="50000"/>
                </a:schemeClr>
              </a:solidFill>
              <a:effectLst/>
              <a:latin typeface="+mn-lt"/>
              <a:ea typeface="+mn-ea"/>
              <a:cs typeface="+mn-cs"/>
            </a:rPr>
            <a:t>Total Suppliers</a:t>
          </a:r>
          <a:r>
            <a:rPr lang="en-IN" sz="1400" b="1">
              <a:solidFill>
                <a:schemeClr val="tx2">
                  <a:lumMod val="50000"/>
                </a:schemeClr>
              </a:solidFill>
              <a:effectLst/>
            </a:rPr>
            <a:t>  </a:t>
          </a:r>
          <a:br>
            <a:rPr lang="en-IN" sz="1400" b="1" i="0" u="none" strike="noStrike">
              <a:solidFill>
                <a:schemeClr val="tx2">
                  <a:lumMod val="50000"/>
                </a:schemeClr>
              </a:solidFill>
              <a:effectLst/>
              <a:latin typeface="+mn-lt"/>
              <a:ea typeface="+mn-ea"/>
              <a:cs typeface="+mn-cs"/>
            </a:rPr>
          </a:br>
          <a:r>
            <a:rPr lang="en-IN" sz="1400" b="1">
              <a:solidFill>
                <a:schemeClr val="tx2">
                  <a:lumMod val="50000"/>
                </a:schemeClr>
              </a:solidFill>
              <a:effectLst/>
            </a:rPr>
            <a:t> </a:t>
          </a:r>
          <a:r>
            <a:rPr lang="en-IN" sz="1400" b="1" i="0" u="none" strike="noStrike">
              <a:solidFill>
                <a:schemeClr val="tx2">
                  <a:lumMod val="50000"/>
                </a:schemeClr>
              </a:solidFill>
              <a:effectLst/>
              <a:latin typeface="+mn-lt"/>
              <a:ea typeface="+mn-ea"/>
              <a:cs typeface="+mn-cs"/>
            </a:rPr>
            <a:t>10</a:t>
          </a:r>
          <a:r>
            <a:rPr lang="en-IN" sz="1400" b="1">
              <a:solidFill>
                <a:schemeClr val="tx2">
                  <a:lumMod val="50000"/>
                </a:schemeClr>
              </a:solidFill>
              <a:effectLst/>
            </a:rPr>
            <a:t> </a:t>
          </a:r>
          <a:endParaRPr lang="en-IN" sz="1400" b="1">
            <a:solidFill>
              <a:schemeClr val="tx2">
                <a:lumMod val="50000"/>
              </a:schemeClr>
            </a:solidFill>
          </a:endParaRPr>
        </a:p>
      </xdr:txBody>
    </xdr:sp>
    <xdr:clientData/>
  </xdr:twoCellAnchor>
  <xdr:twoCellAnchor>
    <xdr:from>
      <xdr:col>2</xdr:col>
      <xdr:colOff>342900</xdr:colOff>
      <xdr:row>0</xdr:row>
      <xdr:rowOff>38100</xdr:rowOff>
    </xdr:from>
    <xdr:to>
      <xdr:col>3</xdr:col>
      <xdr:colOff>472440</xdr:colOff>
      <xdr:row>2</xdr:row>
      <xdr:rowOff>121920</xdr:rowOff>
    </xdr:to>
    <xdr:sp macro="" textlink="">
      <xdr:nvSpPr>
        <xdr:cNvPr id="3" name="TextBox 2">
          <a:extLst>
            <a:ext uri="{FF2B5EF4-FFF2-40B4-BE49-F238E27FC236}">
              <a16:creationId xmlns:a16="http://schemas.microsoft.com/office/drawing/2014/main" id="{32C45E16-30F0-DDAB-9979-17559F934D39}"/>
            </a:ext>
          </a:extLst>
        </xdr:cNvPr>
        <xdr:cNvSpPr txBox="1"/>
      </xdr:nvSpPr>
      <xdr:spPr>
        <a:xfrm>
          <a:off x="2918460" y="38100"/>
          <a:ext cx="156972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tx2">
                  <a:lumMod val="50000"/>
                </a:schemeClr>
              </a:solidFill>
              <a:effectLst/>
              <a:latin typeface="+mn-lt"/>
              <a:ea typeface="+mn-ea"/>
              <a:cs typeface="+mn-cs"/>
            </a:rPr>
            <a:t>Delayed Payments</a:t>
          </a:r>
          <a:r>
            <a:rPr lang="en-IN" sz="1400" b="1">
              <a:solidFill>
                <a:schemeClr val="tx2">
                  <a:lumMod val="50000"/>
                </a:schemeClr>
              </a:solidFill>
              <a:effectLst/>
            </a:rPr>
            <a:t> </a:t>
          </a:r>
          <a:br>
            <a:rPr lang="en-IN" sz="1400" b="1">
              <a:solidFill>
                <a:schemeClr val="tx2">
                  <a:lumMod val="50000"/>
                </a:schemeClr>
              </a:solidFill>
              <a:effectLst/>
            </a:rPr>
          </a:br>
          <a:r>
            <a:rPr lang="en-IN" sz="1400" b="1" i="0" u="none" strike="noStrike">
              <a:solidFill>
                <a:schemeClr val="tx2">
                  <a:lumMod val="50000"/>
                </a:schemeClr>
              </a:solidFill>
              <a:effectLst/>
              <a:latin typeface="+mn-lt"/>
              <a:ea typeface="+mn-ea"/>
              <a:cs typeface="+mn-cs"/>
            </a:rPr>
            <a:t>156</a:t>
          </a:r>
          <a:r>
            <a:rPr lang="en-IN" sz="1400" b="1">
              <a:solidFill>
                <a:schemeClr val="tx2">
                  <a:lumMod val="50000"/>
                </a:schemeClr>
              </a:solidFill>
              <a:effectLst/>
            </a:rPr>
            <a:t> </a:t>
          </a:r>
          <a:endParaRPr lang="en-IN" sz="1400" b="1">
            <a:solidFill>
              <a:schemeClr val="tx2">
                <a:lumMod val="50000"/>
              </a:schemeClr>
            </a:solidFill>
          </a:endParaRPr>
        </a:p>
      </xdr:txBody>
    </xdr:sp>
    <xdr:clientData/>
  </xdr:twoCellAnchor>
  <xdr:twoCellAnchor>
    <xdr:from>
      <xdr:col>3</xdr:col>
      <xdr:colOff>525780</xdr:colOff>
      <xdr:row>0</xdr:row>
      <xdr:rowOff>30480</xdr:rowOff>
    </xdr:from>
    <xdr:to>
      <xdr:col>5</xdr:col>
      <xdr:colOff>53340</xdr:colOff>
      <xdr:row>2</xdr:row>
      <xdr:rowOff>121920</xdr:rowOff>
    </xdr:to>
    <xdr:sp macro="" textlink="">
      <xdr:nvSpPr>
        <xdr:cNvPr id="4" name="TextBox 3">
          <a:extLst>
            <a:ext uri="{FF2B5EF4-FFF2-40B4-BE49-F238E27FC236}">
              <a16:creationId xmlns:a16="http://schemas.microsoft.com/office/drawing/2014/main" id="{8BAAEE46-669B-482C-B82E-DB201FB086B1}"/>
            </a:ext>
          </a:extLst>
        </xdr:cNvPr>
        <xdr:cNvSpPr txBox="1"/>
      </xdr:nvSpPr>
      <xdr:spPr>
        <a:xfrm>
          <a:off x="4541520" y="30480"/>
          <a:ext cx="140970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tx2">
                  <a:lumMod val="50000"/>
                </a:schemeClr>
              </a:solidFill>
              <a:effectLst/>
              <a:latin typeface="+mn-lt"/>
              <a:ea typeface="+mn-ea"/>
              <a:cs typeface="+mn-cs"/>
            </a:rPr>
            <a:t>Active Contracts</a:t>
          </a:r>
          <a:r>
            <a:rPr lang="en-IN" sz="1400" b="1">
              <a:solidFill>
                <a:schemeClr val="tx2">
                  <a:lumMod val="50000"/>
                </a:schemeClr>
              </a:solidFill>
              <a:effectLst/>
            </a:rPr>
            <a:t> </a:t>
          </a:r>
          <a:r>
            <a:rPr lang="en-IN" sz="1400" b="1" i="0" u="none" strike="noStrike">
              <a:solidFill>
                <a:schemeClr val="tx2">
                  <a:lumMod val="50000"/>
                </a:schemeClr>
              </a:solidFill>
              <a:effectLst/>
              <a:latin typeface="+mn-lt"/>
              <a:ea typeface="+mn-ea"/>
              <a:cs typeface="+mn-cs"/>
            </a:rPr>
            <a:t>163</a:t>
          </a:r>
          <a:r>
            <a:rPr lang="en-IN" sz="1400" b="1">
              <a:solidFill>
                <a:schemeClr val="tx2">
                  <a:lumMod val="50000"/>
                </a:schemeClr>
              </a:solidFill>
              <a:effectLst/>
            </a:rPr>
            <a:t> </a:t>
          </a:r>
          <a:endParaRPr lang="en-IN" sz="1400" b="1">
            <a:solidFill>
              <a:schemeClr val="tx2">
                <a:lumMod val="50000"/>
              </a:schemeClr>
            </a:solidFill>
          </a:endParaRPr>
        </a:p>
      </xdr:txBody>
    </xdr:sp>
    <xdr:clientData/>
  </xdr:twoCellAnchor>
  <xdr:twoCellAnchor>
    <xdr:from>
      <xdr:col>0</xdr:col>
      <xdr:colOff>38100</xdr:colOff>
      <xdr:row>0</xdr:row>
      <xdr:rowOff>45720</xdr:rowOff>
    </xdr:from>
    <xdr:to>
      <xdr:col>1</xdr:col>
      <xdr:colOff>182880</xdr:colOff>
      <xdr:row>2</xdr:row>
      <xdr:rowOff>121920</xdr:rowOff>
    </xdr:to>
    <xdr:sp macro="" textlink="">
      <xdr:nvSpPr>
        <xdr:cNvPr id="5" name="TextBox 4">
          <a:extLst>
            <a:ext uri="{FF2B5EF4-FFF2-40B4-BE49-F238E27FC236}">
              <a16:creationId xmlns:a16="http://schemas.microsoft.com/office/drawing/2014/main" id="{3A1254D2-1F72-7EF5-B572-178DA83A4430}"/>
            </a:ext>
          </a:extLst>
        </xdr:cNvPr>
        <xdr:cNvSpPr txBox="1"/>
      </xdr:nvSpPr>
      <xdr:spPr>
        <a:xfrm>
          <a:off x="38100" y="45720"/>
          <a:ext cx="140970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tx2">
                  <a:lumMod val="50000"/>
                </a:schemeClr>
              </a:solidFill>
              <a:effectLst/>
              <a:latin typeface="+mn-lt"/>
              <a:ea typeface="+mn-ea"/>
              <a:cs typeface="+mn-cs"/>
            </a:rPr>
            <a:t>Total Spend</a:t>
          </a:r>
          <a:r>
            <a:rPr lang="en-IN" sz="1400" b="1">
              <a:solidFill>
                <a:schemeClr val="tx2">
                  <a:lumMod val="50000"/>
                </a:schemeClr>
              </a:solidFill>
              <a:effectLst/>
            </a:rPr>
            <a:t> </a:t>
          </a:r>
          <a:br>
            <a:rPr lang="en-IN" sz="1400" b="1">
              <a:solidFill>
                <a:schemeClr val="tx2">
                  <a:lumMod val="50000"/>
                </a:schemeClr>
              </a:solidFill>
              <a:effectLst/>
            </a:rPr>
          </a:br>
          <a:r>
            <a:rPr lang="en-IN" sz="1400" b="1" i="0" u="none" strike="noStrike">
              <a:solidFill>
                <a:schemeClr val="tx2">
                  <a:lumMod val="50000"/>
                </a:schemeClr>
              </a:solidFill>
              <a:effectLst/>
              <a:latin typeface="+mn-lt"/>
              <a:ea typeface="+mn-ea"/>
              <a:cs typeface="+mn-cs"/>
            </a:rPr>
            <a:t>₹ 3,86,69,305.00</a:t>
          </a:r>
          <a:r>
            <a:rPr lang="en-IN" sz="1400" b="1">
              <a:solidFill>
                <a:schemeClr val="tx2">
                  <a:lumMod val="50000"/>
                </a:schemeClr>
              </a:solidFill>
              <a:effectLst/>
            </a:rPr>
            <a:t> </a:t>
          </a:r>
          <a:endParaRPr lang="en-IN" sz="1400" b="1">
            <a:solidFill>
              <a:schemeClr val="tx2">
                <a:lumMod val="50000"/>
              </a:schemeClr>
            </a:solidFill>
          </a:endParaRPr>
        </a:p>
      </xdr:txBody>
    </xdr:sp>
    <xdr:clientData/>
  </xdr:twoCellAnchor>
  <xdr:twoCellAnchor>
    <xdr:from>
      <xdr:col>3</xdr:col>
      <xdr:colOff>655320</xdr:colOff>
      <xdr:row>2</xdr:row>
      <xdr:rowOff>175260</xdr:rowOff>
    </xdr:from>
    <xdr:to>
      <xdr:col>10</xdr:col>
      <xdr:colOff>464820</xdr:colOff>
      <xdr:row>14</xdr:row>
      <xdr:rowOff>68580</xdr:rowOff>
    </xdr:to>
    <xdr:graphicFrame macro="">
      <xdr:nvGraphicFramePr>
        <xdr:cNvPr id="6" name="Chart 5">
          <a:extLst>
            <a:ext uri="{FF2B5EF4-FFF2-40B4-BE49-F238E27FC236}">
              <a16:creationId xmlns:a16="http://schemas.microsoft.com/office/drawing/2014/main" id="{1284E6AC-6AC4-4823-9BE7-A57DB4672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3</xdr:row>
      <xdr:rowOff>0</xdr:rowOff>
    </xdr:from>
    <xdr:to>
      <xdr:col>3</xdr:col>
      <xdr:colOff>609600</xdr:colOff>
      <xdr:row>14</xdr:row>
      <xdr:rowOff>76200</xdr:rowOff>
    </xdr:to>
    <xdr:graphicFrame macro="">
      <xdr:nvGraphicFramePr>
        <xdr:cNvPr id="7" name="Chart 6">
          <a:extLst>
            <a:ext uri="{FF2B5EF4-FFF2-40B4-BE49-F238E27FC236}">
              <a16:creationId xmlns:a16="http://schemas.microsoft.com/office/drawing/2014/main" id="{4619B08E-A3DF-455E-903A-63BA2E6FE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83820</xdr:colOff>
      <xdr:row>0</xdr:row>
      <xdr:rowOff>30480</xdr:rowOff>
    </xdr:from>
    <xdr:to>
      <xdr:col>18</xdr:col>
      <xdr:colOff>152400</xdr:colOff>
      <xdr:row>2</xdr:row>
      <xdr:rowOff>129540</xdr:rowOff>
    </xdr:to>
    <xdr:sp macro="" textlink="">
      <xdr:nvSpPr>
        <xdr:cNvPr id="8" name="TextBox 7">
          <a:extLst>
            <a:ext uri="{FF2B5EF4-FFF2-40B4-BE49-F238E27FC236}">
              <a16:creationId xmlns:a16="http://schemas.microsoft.com/office/drawing/2014/main" id="{53CA4FDE-D73C-749C-B918-56AE3D1CD766}"/>
            </a:ext>
          </a:extLst>
        </xdr:cNvPr>
        <xdr:cNvSpPr txBox="1"/>
      </xdr:nvSpPr>
      <xdr:spPr>
        <a:xfrm>
          <a:off x="5981700" y="30480"/>
          <a:ext cx="7993380" cy="548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2">
                  <a:lumMod val="50000"/>
                </a:schemeClr>
              </a:solidFill>
            </a:rPr>
            <a:t>Procurement Spend &amp; Supplier Performance Dashboard</a:t>
          </a:r>
        </a:p>
      </xdr:txBody>
    </xdr:sp>
    <xdr:clientData/>
  </xdr:twoCellAnchor>
  <xdr:twoCellAnchor editAs="oneCell">
    <xdr:from>
      <xdr:col>10</xdr:col>
      <xdr:colOff>502920</xdr:colOff>
      <xdr:row>2</xdr:row>
      <xdr:rowOff>175261</xdr:rowOff>
    </xdr:from>
    <xdr:to>
      <xdr:col>13</xdr:col>
      <xdr:colOff>320040</xdr:colOff>
      <xdr:row>14</xdr:row>
      <xdr:rowOff>53340</xdr:rowOff>
    </xdr:to>
    <mc:AlternateContent xmlns:mc="http://schemas.openxmlformats.org/markup-compatibility/2006" xmlns:a14="http://schemas.microsoft.com/office/drawing/2010/main">
      <mc:Choice Requires="a14">
        <xdr:graphicFrame macro="">
          <xdr:nvGraphicFramePr>
            <xdr:cNvPr id="9" name="Supplier_Name 1">
              <a:extLst>
                <a:ext uri="{FF2B5EF4-FFF2-40B4-BE49-F238E27FC236}">
                  <a16:creationId xmlns:a16="http://schemas.microsoft.com/office/drawing/2014/main" id="{E28DF8AA-77A7-4D15-8D43-4878840665FE}"/>
                </a:ext>
              </a:extLst>
            </xdr:cNvPr>
            <xdr:cNvGraphicFramePr/>
          </xdr:nvGraphicFramePr>
          <xdr:xfrm>
            <a:off x="0" y="0"/>
            <a:ext cx="0" cy="0"/>
          </xdr:xfrm>
          <a:graphic>
            <a:graphicData uri="http://schemas.microsoft.com/office/drawing/2010/slicer">
              <sle:slicer xmlns:sle="http://schemas.microsoft.com/office/drawing/2010/slicer" name="Supplier_Name 1"/>
            </a:graphicData>
          </a:graphic>
        </xdr:graphicFrame>
      </mc:Choice>
      <mc:Fallback xmlns="">
        <xdr:sp macro="" textlink="">
          <xdr:nvSpPr>
            <xdr:cNvPr id="0" name=""/>
            <xdr:cNvSpPr>
              <a:spLocks noTextEdit="1"/>
            </xdr:cNvSpPr>
          </xdr:nvSpPr>
          <xdr:spPr>
            <a:xfrm>
              <a:off x="9448800" y="624841"/>
              <a:ext cx="1645920" cy="2072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373380</xdr:colOff>
      <xdr:row>2</xdr:row>
      <xdr:rowOff>167640</xdr:rowOff>
    </xdr:from>
    <xdr:to>
      <xdr:col>16</xdr:col>
      <xdr:colOff>0</xdr:colOff>
      <xdr:row>14</xdr:row>
      <xdr:rowOff>38100</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6CBE2929-82F1-4F91-93D2-30A1778462F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148060" y="617220"/>
              <a:ext cx="145542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30480</xdr:colOff>
      <xdr:row>9</xdr:row>
      <xdr:rowOff>83820</xdr:rowOff>
    </xdr:from>
    <xdr:to>
      <xdr:col>18</xdr:col>
      <xdr:colOff>167640</xdr:colOff>
      <xdr:row>14</xdr:row>
      <xdr:rowOff>45720</xdr:rowOff>
    </xdr:to>
    <mc:AlternateContent xmlns:mc="http://schemas.openxmlformats.org/markup-compatibility/2006" xmlns:a14="http://schemas.microsoft.com/office/drawing/2010/main">
      <mc:Choice Requires="a14">
        <xdr:graphicFrame macro="">
          <xdr:nvGraphicFramePr>
            <xdr:cNvPr id="11" name="Contract_Status 1">
              <a:extLst>
                <a:ext uri="{FF2B5EF4-FFF2-40B4-BE49-F238E27FC236}">
                  <a16:creationId xmlns:a16="http://schemas.microsoft.com/office/drawing/2014/main" id="{C3875266-DEF0-43D4-A477-11F7656BD218}"/>
                </a:ext>
              </a:extLst>
            </xdr:cNvPr>
            <xdr:cNvGraphicFramePr/>
          </xdr:nvGraphicFramePr>
          <xdr:xfrm>
            <a:off x="0" y="0"/>
            <a:ext cx="0" cy="0"/>
          </xdr:xfrm>
          <a:graphic>
            <a:graphicData uri="http://schemas.microsoft.com/office/drawing/2010/slicer">
              <sle:slicer xmlns:sle="http://schemas.microsoft.com/office/drawing/2010/slicer" name="Contract_Status 1"/>
            </a:graphicData>
          </a:graphic>
        </xdr:graphicFrame>
      </mc:Choice>
      <mc:Fallback xmlns="">
        <xdr:sp macro="" textlink="">
          <xdr:nvSpPr>
            <xdr:cNvPr id="0" name=""/>
            <xdr:cNvSpPr>
              <a:spLocks noTextEdit="1"/>
            </xdr:cNvSpPr>
          </xdr:nvSpPr>
          <xdr:spPr>
            <a:xfrm>
              <a:off x="12633960" y="1813560"/>
              <a:ext cx="135636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xdr:colOff>
      <xdr:row>2</xdr:row>
      <xdr:rowOff>175260</xdr:rowOff>
    </xdr:from>
    <xdr:to>
      <xdr:col>18</xdr:col>
      <xdr:colOff>175260</xdr:colOff>
      <xdr:row>9</xdr:row>
      <xdr:rowOff>76200</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89C845EE-617D-4980-8249-FD831F8D5D7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618720" y="624840"/>
              <a:ext cx="137922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14</xdr:row>
      <xdr:rowOff>114300</xdr:rowOff>
    </xdr:from>
    <xdr:to>
      <xdr:col>3</xdr:col>
      <xdr:colOff>617220</xdr:colOff>
      <xdr:row>26</xdr:row>
      <xdr:rowOff>83820</xdr:rowOff>
    </xdr:to>
    <xdr:graphicFrame macro="">
      <xdr:nvGraphicFramePr>
        <xdr:cNvPr id="13" name="Chart 12">
          <a:extLst>
            <a:ext uri="{FF2B5EF4-FFF2-40B4-BE49-F238E27FC236}">
              <a16:creationId xmlns:a16="http://schemas.microsoft.com/office/drawing/2014/main" id="{2137992C-AF08-4AF0-958B-51B665DD0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655320</xdr:colOff>
      <xdr:row>14</xdr:row>
      <xdr:rowOff>114300</xdr:rowOff>
    </xdr:from>
    <xdr:to>
      <xdr:col>10</xdr:col>
      <xdr:colOff>426720</xdr:colOff>
      <xdr:row>26</xdr:row>
      <xdr:rowOff>83820</xdr:rowOff>
    </xdr:to>
    <xdr:graphicFrame macro="">
      <xdr:nvGraphicFramePr>
        <xdr:cNvPr id="14" name="Chart 13">
          <a:extLst>
            <a:ext uri="{FF2B5EF4-FFF2-40B4-BE49-F238E27FC236}">
              <a16:creationId xmlns:a16="http://schemas.microsoft.com/office/drawing/2014/main" id="{C5AD6FA4-7203-4F5B-8E10-1045F62A7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472440</xdr:colOff>
      <xdr:row>14</xdr:row>
      <xdr:rowOff>99060</xdr:rowOff>
    </xdr:from>
    <xdr:to>
      <xdr:col>18</xdr:col>
      <xdr:colOff>167640</xdr:colOff>
      <xdr:row>26</xdr:row>
      <xdr:rowOff>91440</xdr:rowOff>
    </xdr:to>
    <xdr:graphicFrame macro="">
      <xdr:nvGraphicFramePr>
        <xdr:cNvPr id="15" name="Chart 14">
          <a:extLst>
            <a:ext uri="{FF2B5EF4-FFF2-40B4-BE49-F238E27FC236}">
              <a16:creationId xmlns:a16="http://schemas.microsoft.com/office/drawing/2014/main" id="{2D89C6FF-EF5E-4B96-A24C-94E8227DB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ati Kuchekar" refreshedDate="46171.652834490742" createdVersion="8" refreshedVersion="8" minRefreshableVersion="3" recordCount="500" xr:uid="{837E6F3F-683C-43DF-9F18-A44FC22EE02F}">
  <cacheSource type="worksheet">
    <worksheetSource name="tbl_procurement"/>
  </cacheSource>
  <cacheFields count="8">
    <cacheField name="Transaction_ID" numFmtId="0">
      <sharedItems/>
    </cacheField>
    <cacheField name="Supplier_Name" numFmtId="0">
      <sharedItems count="10">
        <s v="Nova Industries"/>
        <s v="Vertex Solutions"/>
        <s v="Global Logistics"/>
        <s v="Rapid Transport"/>
        <s v="Delta Packaging"/>
        <s v="Elite Vendors"/>
        <s v="Vision Supplies"/>
        <s v="Skyline Traders"/>
        <s v="ABC Packaging"/>
        <s v="Prime Materials"/>
      </sharedItems>
    </cacheField>
    <cacheField name="Category" numFmtId="0">
      <sharedItems count="6">
        <s v="Maintenance"/>
        <s v="Raw Material"/>
        <s v="Office Supplies"/>
        <s v="Logistics"/>
        <s v="Transportation"/>
        <s v="Packaging"/>
      </sharedItems>
    </cacheField>
    <cacheField name="               " numFmtId="0">
      <sharedItems count="12">
        <s v="Apr"/>
        <s v="Sep"/>
        <s v="May"/>
        <s v="Oct"/>
        <s v="Aug"/>
        <s v="Jul"/>
        <s v="Feb"/>
        <s v="Nov"/>
        <s v="Dec"/>
        <s v="Mar"/>
        <s v="Jun"/>
        <s v="Jan"/>
      </sharedItems>
    </cacheField>
    <cacheField name="Spend_Amount" numFmtId="0">
      <sharedItems containsSemiMixedTypes="0" containsString="0" containsNumber="1" containsInteger="1" minValue="10264" maxValue="149700"/>
    </cacheField>
    <cacheField name="Payment_Status" numFmtId="0">
      <sharedItems count="3">
        <s v="Overdue"/>
        <s v="Paid"/>
        <s v="Pending"/>
      </sharedItems>
    </cacheField>
    <cacheField name="Delivery_Delay_Days" numFmtId="0">
      <sharedItems containsSemiMixedTypes="0" containsString="0" containsNumber="1" containsInteger="1" minValue="0" maxValue="15"/>
    </cacheField>
    <cacheField name="Contract_Status" numFmtId="0">
      <sharedItems count="3">
        <s v="Active"/>
        <s v="Expiring"/>
        <s v="Renewed"/>
      </sharedItems>
    </cacheField>
  </cacheFields>
  <extLst>
    <ext xmlns:x14="http://schemas.microsoft.com/office/spreadsheetml/2009/9/main" uri="{725AE2AE-9491-48be-B2B4-4EB974FC3084}">
      <x14:pivotCacheDefinition pivotCacheId="178623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XN0001"/>
    <x v="0"/>
    <x v="0"/>
    <x v="0"/>
    <n v="130960"/>
    <x v="0"/>
    <n v="15"/>
    <x v="0"/>
  </r>
  <r>
    <s v="TXN0002"/>
    <x v="1"/>
    <x v="1"/>
    <x v="1"/>
    <n v="16727"/>
    <x v="1"/>
    <n v="1"/>
    <x v="1"/>
  </r>
  <r>
    <s v="TXN0003"/>
    <x v="2"/>
    <x v="2"/>
    <x v="2"/>
    <n v="16119"/>
    <x v="0"/>
    <n v="8"/>
    <x v="1"/>
  </r>
  <r>
    <s v="TXN0004"/>
    <x v="3"/>
    <x v="3"/>
    <x v="3"/>
    <n v="127984"/>
    <x v="1"/>
    <n v="12"/>
    <x v="0"/>
  </r>
  <r>
    <s v="TXN0005"/>
    <x v="4"/>
    <x v="2"/>
    <x v="4"/>
    <n v="12548"/>
    <x v="0"/>
    <n v="1"/>
    <x v="1"/>
  </r>
  <r>
    <s v="TXN0006"/>
    <x v="1"/>
    <x v="0"/>
    <x v="4"/>
    <n v="49372"/>
    <x v="2"/>
    <n v="13"/>
    <x v="1"/>
  </r>
  <r>
    <s v="TXN0007"/>
    <x v="5"/>
    <x v="1"/>
    <x v="1"/>
    <n v="60279"/>
    <x v="1"/>
    <n v="1"/>
    <x v="2"/>
  </r>
  <r>
    <s v="TXN0008"/>
    <x v="6"/>
    <x v="1"/>
    <x v="4"/>
    <n v="46017"/>
    <x v="0"/>
    <n v="2"/>
    <x v="2"/>
  </r>
  <r>
    <s v="TXN0009"/>
    <x v="6"/>
    <x v="2"/>
    <x v="5"/>
    <n v="28915"/>
    <x v="1"/>
    <n v="14"/>
    <x v="0"/>
  </r>
  <r>
    <s v="TXN0010"/>
    <x v="7"/>
    <x v="4"/>
    <x v="6"/>
    <n v="36763"/>
    <x v="2"/>
    <n v="3"/>
    <x v="2"/>
  </r>
  <r>
    <s v="TXN0011"/>
    <x v="2"/>
    <x v="2"/>
    <x v="7"/>
    <n v="121355"/>
    <x v="1"/>
    <n v="7"/>
    <x v="0"/>
  </r>
  <r>
    <s v="TXN0012"/>
    <x v="8"/>
    <x v="0"/>
    <x v="8"/>
    <n v="71705"/>
    <x v="0"/>
    <n v="0"/>
    <x v="1"/>
  </r>
  <r>
    <s v="TXN0013"/>
    <x v="9"/>
    <x v="0"/>
    <x v="4"/>
    <n v="136859"/>
    <x v="2"/>
    <n v="9"/>
    <x v="1"/>
  </r>
  <r>
    <s v="TXN0014"/>
    <x v="7"/>
    <x v="1"/>
    <x v="4"/>
    <n v="23910"/>
    <x v="2"/>
    <n v="8"/>
    <x v="2"/>
  </r>
  <r>
    <s v="TXN0015"/>
    <x v="7"/>
    <x v="3"/>
    <x v="9"/>
    <n v="71719"/>
    <x v="1"/>
    <n v="9"/>
    <x v="1"/>
  </r>
  <r>
    <s v="TXN0016"/>
    <x v="2"/>
    <x v="5"/>
    <x v="4"/>
    <n v="28507"/>
    <x v="1"/>
    <n v="6"/>
    <x v="1"/>
  </r>
  <r>
    <s v="TXN0017"/>
    <x v="0"/>
    <x v="0"/>
    <x v="9"/>
    <n v="42822"/>
    <x v="2"/>
    <n v="6"/>
    <x v="2"/>
  </r>
  <r>
    <s v="TXN0018"/>
    <x v="4"/>
    <x v="5"/>
    <x v="5"/>
    <n v="24227"/>
    <x v="0"/>
    <n v="6"/>
    <x v="2"/>
  </r>
  <r>
    <s v="TXN0019"/>
    <x v="0"/>
    <x v="3"/>
    <x v="8"/>
    <n v="55954"/>
    <x v="1"/>
    <n v="0"/>
    <x v="2"/>
  </r>
  <r>
    <s v="TXN0020"/>
    <x v="0"/>
    <x v="2"/>
    <x v="6"/>
    <n v="109178"/>
    <x v="1"/>
    <n v="8"/>
    <x v="1"/>
  </r>
  <r>
    <s v="TXN0021"/>
    <x v="7"/>
    <x v="3"/>
    <x v="10"/>
    <n v="28559"/>
    <x v="1"/>
    <n v="13"/>
    <x v="2"/>
  </r>
  <r>
    <s v="TXN0022"/>
    <x v="3"/>
    <x v="2"/>
    <x v="6"/>
    <n v="116919"/>
    <x v="1"/>
    <n v="2"/>
    <x v="0"/>
  </r>
  <r>
    <s v="TXN0023"/>
    <x v="7"/>
    <x v="2"/>
    <x v="7"/>
    <n v="10264"/>
    <x v="1"/>
    <n v="13"/>
    <x v="1"/>
  </r>
  <r>
    <s v="TXN0024"/>
    <x v="9"/>
    <x v="0"/>
    <x v="10"/>
    <n v="26096"/>
    <x v="2"/>
    <n v="13"/>
    <x v="2"/>
  </r>
  <r>
    <s v="TXN0025"/>
    <x v="6"/>
    <x v="1"/>
    <x v="7"/>
    <n v="25651"/>
    <x v="0"/>
    <n v="12"/>
    <x v="1"/>
  </r>
  <r>
    <s v="TXN0026"/>
    <x v="7"/>
    <x v="4"/>
    <x v="10"/>
    <n v="73122"/>
    <x v="2"/>
    <n v="15"/>
    <x v="0"/>
  </r>
  <r>
    <s v="TXN0027"/>
    <x v="4"/>
    <x v="0"/>
    <x v="8"/>
    <n v="37125"/>
    <x v="2"/>
    <n v="14"/>
    <x v="0"/>
  </r>
  <r>
    <s v="TXN0028"/>
    <x v="6"/>
    <x v="0"/>
    <x v="10"/>
    <n v="86822"/>
    <x v="1"/>
    <n v="10"/>
    <x v="1"/>
  </r>
  <r>
    <s v="TXN0029"/>
    <x v="5"/>
    <x v="3"/>
    <x v="4"/>
    <n v="91258"/>
    <x v="1"/>
    <n v="14"/>
    <x v="1"/>
  </r>
  <r>
    <s v="TXN0030"/>
    <x v="2"/>
    <x v="4"/>
    <x v="6"/>
    <n v="27165"/>
    <x v="0"/>
    <n v="13"/>
    <x v="2"/>
  </r>
  <r>
    <s v="TXN0031"/>
    <x v="0"/>
    <x v="3"/>
    <x v="10"/>
    <n v="65273"/>
    <x v="1"/>
    <n v="11"/>
    <x v="1"/>
  </r>
  <r>
    <s v="TXN0032"/>
    <x v="3"/>
    <x v="1"/>
    <x v="7"/>
    <n v="33495"/>
    <x v="0"/>
    <n v="6"/>
    <x v="1"/>
  </r>
  <r>
    <s v="TXN0033"/>
    <x v="0"/>
    <x v="5"/>
    <x v="2"/>
    <n v="52378"/>
    <x v="0"/>
    <n v="4"/>
    <x v="2"/>
  </r>
  <r>
    <s v="TXN0034"/>
    <x v="1"/>
    <x v="4"/>
    <x v="7"/>
    <n v="70124"/>
    <x v="2"/>
    <n v="10"/>
    <x v="2"/>
  </r>
  <r>
    <s v="TXN0035"/>
    <x v="6"/>
    <x v="0"/>
    <x v="1"/>
    <n v="92829"/>
    <x v="1"/>
    <n v="5"/>
    <x v="0"/>
  </r>
  <r>
    <s v="TXN0036"/>
    <x v="1"/>
    <x v="2"/>
    <x v="1"/>
    <n v="81740"/>
    <x v="0"/>
    <n v="10"/>
    <x v="1"/>
  </r>
  <r>
    <s v="TXN0037"/>
    <x v="1"/>
    <x v="1"/>
    <x v="8"/>
    <n v="46581"/>
    <x v="1"/>
    <n v="7"/>
    <x v="1"/>
  </r>
  <r>
    <s v="TXN0038"/>
    <x v="0"/>
    <x v="5"/>
    <x v="6"/>
    <n v="74263"/>
    <x v="0"/>
    <n v="6"/>
    <x v="0"/>
  </r>
  <r>
    <s v="TXN0039"/>
    <x v="4"/>
    <x v="0"/>
    <x v="1"/>
    <n v="84051"/>
    <x v="0"/>
    <n v="13"/>
    <x v="2"/>
  </r>
  <r>
    <s v="TXN0040"/>
    <x v="4"/>
    <x v="5"/>
    <x v="2"/>
    <n v="74222"/>
    <x v="1"/>
    <n v="1"/>
    <x v="0"/>
  </r>
  <r>
    <s v="TXN0041"/>
    <x v="1"/>
    <x v="4"/>
    <x v="1"/>
    <n v="50011"/>
    <x v="1"/>
    <n v="3"/>
    <x v="0"/>
  </r>
  <r>
    <s v="TXN0042"/>
    <x v="6"/>
    <x v="5"/>
    <x v="1"/>
    <n v="33661"/>
    <x v="2"/>
    <n v="5"/>
    <x v="0"/>
  </r>
  <r>
    <s v="TXN0043"/>
    <x v="4"/>
    <x v="5"/>
    <x v="3"/>
    <n v="81923"/>
    <x v="1"/>
    <n v="14"/>
    <x v="1"/>
  </r>
  <r>
    <s v="TXN0044"/>
    <x v="9"/>
    <x v="4"/>
    <x v="11"/>
    <n v="107929"/>
    <x v="0"/>
    <n v="9"/>
    <x v="0"/>
  </r>
  <r>
    <s v="TXN0045"/>
    <x v="3"/>
    <x v="0"/>
    <x v="2"/>
    <n v="36910"/>
    <x v="0"/>
    <n v="5"/>
    <x v="2"/>
  </r>
  <r>
    <s v="TXN0046"/>
    <x v="1"/>
    <x v="3"/>
    <x v="2"/>
    <n v="97955"/>
    <x v="2"/>
    <n v="9"/>
    <x v="0"/>
  </r>
  <r>
    <s v="TXN0047"/>
    <x v="0"/>
    <x v="3"/>
    <x v="4"/>
    <n v="132552"/>
    <x v="2"/>
    <n v="3"/>
    <x v="0"/>
  </r>
  <r>
    <s v="TXN0048"/>
    <x v="9"/>
    <x v="0"/>
    <x v="7"/>
    <n v="144247"/>
    <x v="0"/>
    <n v="5"/>
    <x v="2"/>
  </r>
  <r>
    <s v="TXN0049"/>
    <x v="8"/>
    <x v="1"/>
    <x v="5"/>
    <n v="80602"/>
    <x v="2"/>
    <n v="15"/>
    <x v="1"/>
  </r>
  <r>
    <s v="TXN0050"/>
    <x v="9"/>
    <x v="3"/>
    <x v="4"/>
    <n v="64375"/>
    <x v="1"/>
    <n v="12"/>
    <x v="2"/>
  </r>
  <r>
    <s v="TXN0051"/>
    <x v="7"/>
    <x v="2"/>
    <x v="3"/>
    <n v="93079"/>
    <x v="2"/>
    <n v="2"/>
    <x v="2"/>
  </r>
  <r>
    <s v="TXN0052"/>
    <x v="0"/>
    <x v="5"/>
    <x v="9"/>
    <n v="74174"/>
    <x v="0"/>
    <n v="6"/>
    <x v="2"/>
  </r>
  <r>
    <s v="TXN0053"/>
    <x v="0"/>
    <x v="5"/>
    <x v="6"/>
    <n v="106872"/>
    <x v="1"/>
    <n v="7"/>
    <x v="1"/>
  </r>
  <r>
    <s v="TXN0054"/>
    <x v="3"/>
    <x v="3"/>
    <x v="1"/>
    <n v="59148"/>
    <x v="2"/>
    <n v="13"/>
    <x v="2"/>
  </r>
  <r>
    <s v="TXN0055"/>
    <x v="3"/>
    <x v="5"/>
    <x v="7"/>
    <n v="36302"/>
    <x v="0"/>
    <n v="4"/>
    <x v="0"/>
  </r>
  <r>
    <s v="TXN0056"/>
    <x v="6"/>
    <x v="2"/>
    <x v="9"/>
    <n v="71950"/>
    <x v="1"/>
    <n v="1"/>
    <x v="0"/>
  </r>
  <r>
    <s v="TXN0057"/>
    <x v="5"/>
    <x v="4"/>
    <x v="6"/>
    <n v="12545"/>
    <x v="1"/>
    <n v="1"/>
    <x v="2"/>
  </r>
  <r>
    <s v="TXN0058"/>
    <x v="1"/>
    <x v="5"/>
    <x v="10"/>
    <n v="48075"/>
    <x v="1"/>
    <n v="12"/>
    <x v="2"/>
  </r>
  <r>
    <s v="TXN0059"/>
    <x v="3"/>
    <x v="1"/>
    <x v="5"/>
    <n v="93402"/>
    <x v="1"/>
    <n v="8"/>
    <x v="0"/>
  </r>
  <r>
    <s v="TXN0060"/>
    <x v="6"/>
    <x v="4"/>
    <x v="3"/>
    <n v="96974"/>
    <x v="2"/>
    <n v="9"/>
    <x v="1"/>
  </r>
  <r>
    <s v="TXN0061"/>
    <x v="4"/>
    <x v="2"/>
    <x v="3"/>
    <n v="62604"/>
    <x v="2"/>
    <n v="3"/>
    <x v="0"/>
  </r>
  <r>
    <s v="TXN0062"/>
    <x v="0"/>
    <x v="3"/>
    <x v="9"/>
    <n v="58119"/>
    <x v="1"/>
    <n v="9"/>
    <x v="0"/>
  </r>
  <r>
    <s v="TXN0063"/>
    <x v="9"/>
    <x v="0"/>
    <x v="2"/>
    <n v="76692"/>
    <x v="1"/>
    <n v="12"/>
    <x v="0"/>
  </r>
  <r>
    <s v="TXN0064"/>
    <x v="5"/>
    <x v="2"/>
    <x v="10"/>
    <n v="122413"/>
    <x v="0"/>
    <n v="11"/>
    <x v="1"/>
  </r>
  <r>
    <s v="TXN0065"/>
    <x v="8"/>
    <x v="1"/>
    <x v="4"/>
    <n v="138879"/>
    <x v="0"/>
    <n v="1"/>
    <x v="0"/>
  </r>
  <r>
    <s v="TXN0066"/>
    <x v="8"/>
    <x v="3"/>
    <x v="3"/>
    <n v="72195"/>
    <x v="1"/>
    <n v="12"/>
    <x v="1"/>
  </r>
  <r>
    <s v="TXN0067"/>
    <x v="5"/>
    <x v="3"/>
    <x v="9"/>
    <n v="29066"/>
    <x v="1"/>
    <n v="13"/>
    <x v="0"/>
  </r>
  <r>
    <s v="TXN0068"/>
    <x v="9"/>
    <x v="5"/>
    <x v="2"/>
    <n v="57595"/>
    <x v="0"/>
    <n v="8"/>
    <x v="0"/>
  </r>
  <r>
    <s v="TXN0069"/>
    <x v="5"/>
    <x v="5"/>
    <x v="6"/>
    <n v="125056"/>
    <x v="1"/>
    <n v="5"/>
    <x v="2"/>
  </r>
  <r>
    <s v="TXN0070"/>
    <x v="5"/>
    <x v="4"/>
    <x v="6"/>
    <n v="83168"/>
    <x v="0"/>
    <n v="3"/>
    <x v="2"/>
  </r>
  <r>
    <s v="TXN0071"/>
    <x v="0"/>
    <x v="4"/>
    <x v="8"/>
    <n v="144048"/>
    <x v="1"/>
    <n v="6"/>
    <x v="1"/>
  </r>
  <r>
    <s v="TXN0072"/>
    <x v="2"/>
    <x v="3"/>
    <x v="1"/>
    <n v="15638"/>
    <x v="1"/>
    <n v="1"/>
    <x v="0"/>
  </r>
  <r>
    <s v="TXN0073"/>
    <x v="4"/>
    <x v="5"/>
    <x v="8"/>
    <n v="96802"/>
    <x v="1"/>
    <n v="0"/>
    <x v="1"/>
  </r>
  <r>
    <s v="TXN0074"/>
    <x v="0"/>
    <x v="2"/>
    <x v="10"/>
    <n v="83711"/>
    <x v="0"/>
    <n v="12"/>
    <x v="0"/>
  </r>
  <r>
    <s v="TXN0075"/>
    <x v="3"/>
    <x v="2"/>
    <x v="11"/>
    <n v="66322"/>
    <x v="2"/>
    <n v="14"/>
    <x v="1"/>
  </r>
  <r>
    <s v="TXN0076"/>
    <x v="9"/>
    <x v="0"/>
    <x v="9"/>
    <n v="46133"/>
    <x v="1"/>
    <n v="5"/>
    <x v="0"/>
  </r>
  <r>
    <s v="TXN0077"/>
    <x v="5"/>
    <x v="3"/>
    <x v="11"/>
    <n v="36263"/>
    <x v="1"/>
    <n v="5"/>
    <x v="2"/>
  </r>
  <r>
    <s v="TXN0078"/>
    <x v="8"/>
    <x v="0"/>
    <x v="6"/>
    <n v="66781"/>
    <x v="2"/>
    <n v="10"/>
    <x v="1"/>
  </r>
  <r>
    <s v="TXN0079"/>
    <x v="9"/>
    <x v="3"/>
    <x v="6"/>
    <n v="77929"/>
    <x v="1"/>
    <n v="9"/>
    <x v="0"/>
  </r>
  <r>
    <s v="TXN0080"/>
    <x v="8"/>
    <x v="5"/>
    <x v="8"/>
    <n v="97329"/>
    <x v="1"/>
    <n v="6"/>
    <x v="1"/>
  </r>
  <r>
    <s v="TXN0081"/>
    <x v="5"/>
    <x v="5"/>
    <x v="7"/>
    <n v="120557"/>
    <x v="0"/>
    <n v="0"/>
    <x v="0"/>
  </r>
  <r>
    <s v="TXN0082"/>
    <x v="6"/>
    <x v="1"/>
    <x v="3"/>
    <n v="13000"/>
    <x v="1"/>
    <n v="14"/>
    <x v="0"/>
  </r>
  <r>
    <s v="TXN0083"/>
    <x v="4"/>
    <x v="1"/>
    <x v="4"/>
    <n v="126614"/>
    <x v="0"/>
    <n v="4"/>
    <x v="0"/>
  </r>
  <r>
    <s v="TXN0084"/>
    <x v="0"/>
    <x v="2"/>
    <x v="0"/>
    <n v="24598"/>
    <x v="2"/>
    <n v="6"/>
    <x v="0"/>
  </r>
  <r>
    <s v="TXN0085"/>
    <x v="1"/>
    <x v="3"/>
    <x v="9"/>
    <n v="68219"/>
    <x v="0"/>
    <n v="7"/>
    <x v="2"/>
  </r>
  <r>
    <s v="TXN0086"/>
    <x v="6"/>
    <x v="2"/>
    <x v="2"/>
    <n v="82962"/>
    <x v="0"/>
    <n v="7"/>
    <x v="1"/>
  </r>
  <r>
    <s v="TXN0087"/>
    <x v="9"/>
    <x v="5"/>
    <x v="3"/>
    <n v="56454"/>
    <x v="2"/>
    <n v="7"/>
    <x v="2"/>
  </r>
  <r>
    <s v="TXN0088"/>
    <x v="5"/>
    <x v="5"/>
    <x v="6"/>
    <n v="70667"/>
    <x v="2"/>
    <n v="4"/>
    <x v="0"/>
  </r>
  <r>
    <s v="TXN0089"/>
    <x v="7"/>
    <x v="3"/>
    <x v="7"/>
    <n v="43756"/>
    <x v="2"/>
    <n v="7"/>
    <x v="0"/>
  </r>
  <r>
    <s v="TXN0090"/>
    <x v="7"/>
    <x v="5"/>
    <x v="0"/>
    <n v="22230"/>
    <x v="1"/>
    <n v="5"/>
    <x v="1"/>
  </r>
  <r>
    <s v="TXN0091"/>
    <x v="2"/>
    <x v="0"/>
    <x v="10"/>
    <n v="64314"/>
    <x v="1"/>
    <n v="5"/>
    <x v="0"/>
  </r>
  <r>
    <s v="TXN0092"/>
    <x v="2"/>
    <x v="2"/>
    <x v="4"/>
    <n v="149239"/>
    <x v="2"/>
    <n v="11"/>
    <x v="0"/>
  </r>
  <r>
    <s v="TXN0093"/>
    <x v="4"/>
    <x v="0"/>
    <x v="7"/>
    <n v="79101"/>
    <x v="0"/>
    <n v="11"/>
    <x v="1"/>
  </r>
  <r>
    <s v="TXN0094"/>
    <x v="5"/>
    <x v="5"/>
    <x v="5"/>
    <n v="104022"/>
    <x v="1"/>
    <n v="14"/>
    <x v="1"/>
  </r>
  <r>
    <s v="TXN0095"/>
    <x v="1"/>
    <x v="1"/>
    <x v="2"/>
    <n v="10674"/>
    <x v="0"/>
    <n v="14"/>
    <x v="0"/>
  </r>
  <r>
    <s v="TXN0096"/>
    <x v="3"/>
    <x v="4"/>
    <x v="11"/>
    <n v="99770"/>
    <x v="2"/>
    <n v="7"/>
    <x v="1"/>
  </r>
  <r>
    <s v="TXN0097"/>
    <x v="2"/>
    <x v="0"/>
    <x v="4"/>
    <n v="22880"/>
    <x v="1"/>
    <n v="4"/>
    <x v="2"/>
  </r>
  <r>
    <s v="TXN0098"/>
    <x v="5"/>
    <x v="3"/>
    <x v="5"/>
    <n v="124638"/>
    <x v="2"/>
    <n v="3"/>
    <x v="1"/>
  </r>
  <r>
    <s v="TXN0099"/>
    <x v="3"/>
    <x v="5"/>
    <x v="0"/>
    <n v="92870"/>
    <x v="1"/>
    <n v="2"/>
    <x v="0"/>
  </r>
  <r>
    <s v="TXN0100"/>
    <x v="2"/>
    <x v="5"/>
    <x v="6"/>
    <n v="62880"/>
    <x v="1"/>
    <n v="8"/>
    <x v="0"/>
  </r>
  <r>
    <s v="TXN0101"/>
    <x v="3"/>
    <x v="5"/>
    <x v="10"/>
    <n v="93315"/>
    <x v="0"/>
    <n v="2"/>
    <x v="0"/>
  </r>
  <r>
    <s v="TXN0102"/>
    <x v="8"/>
    <x v="5"/>
    <x v="11"/>
    <n v="138248"/>
    <x v="2"/>
    <n v="8"/>
    <x v="1"/>
  </r>
  <r>
    <s v="TXN0103"/>
    <x v="2"/>
    <x v="0"/>
    <x v="11"/>
    <n v="94664"/>
    <x v="2"/>
    <n v="1"/>
    <x v="0"/>
  </r>
  <r>
    <s v="TXN0104"/>
    <x v="1"/>
    <x v="3"/>
    <x v="6"/>
    <n v="96326"/>
    <x v="2"/>
    <n v="5"/>
    <x v="1"/>
  </r>
  <r>
    <s v="TXN0105"/>
    <x v="2"/>
    <x v="3"/>
    <x v="3"/>
    <n v="105604"/>
    <x v="1"/>
    <n v="8"/>
    <x v="0"/>
  </r>
  <r>
    <s v="TXN0106"/>
    <x v="1"/>
    <x v="4"/>
    <x v="10"/>
    <n v="126322"/>
    <x v="2"/>
    <n v="5"/>
    <x v="2"/>
  </r>
  <r>
    <s v="TXN0107"/>
    <x v="1"/>
    <x v="5"/>
    <x v="0"/>
    <n v="61019"/>
    <x v="2"/>
    <n v="2"/>
    <x v="0"/>
  </r>
  <r>
    <s v="TXN0108"/>
    <x v="2"/>
    <x v="3"/>
    <x v="0"/>
    <n v="87860"/>
    <x v="1"/>
    <n v="1"/>
    <x v="1"/>
  </r>
  <r>
    <s v="TXN0109"/>
    <x v="5"/>
    <x v="3"/>
    <x v="8"/>
    <n v="32535"/>
    <x v="0"/>
    <n v="8"/>
    <x v="2"/>
  </r>
  <r>
    <s v="TXN0110"/>
    <x v="6"/>
    <x v="0"/>
    <x v="7"/>
    <n v="85746"/>
    <x v="1"/>
    <n v="10"/>
    <x v="1"/>
  </r>
  <r>
    <s v="TXN0111"/>
    <x v="3"/>
    <x v="2"/>
    <x v="6"/>
    <n v="46237"/>
    <x v="2"/>
    <n v="2"/>
    <x v="1"/>
  </r>
  <r>
    <s v="TXN0112"/>
    <x v="0"/>
    <x v="1"/>
    <x v="6"/>
    <n v="105615"/>
    <x v="2"/>
    <n v="5"/>
    <x v="0"/>
  </r>
  <r>
    <s v="TXN0113"/>
    <x v="7"/>
    <x v="5"/>
    <x v="11"/>
    <n v="105675"/>
    <x v="2"/>
    <n v="7"/>
    <x v="0"/>
  </r>
  <r>
    <s v="TXN0114"/>
    <x v="8"/>
    <x v="5"/>
    <x v="7"/>
    <n v="87933"/>
    <x v="2"/>
    <n v="8"/>
    <x v="0"/>
  </r>
  <r>
    <s v="TXN0115"/>
    <x v="2"/>
    <x v="1"/>
    <x v="5"/>
    <n v="105066"/>
    <x v="2"/>
    <n v="6"/>
    <x v="0"/>
  </r>
  <r>
    <s v="TXN0116"/>
    <x v="8"/>
    <x v="5"/>
    <x v="6"/>
    <n v="131965"/>
    <x v="0"/>
    <n v="10"/>
    <x v="2"/>
  </r>
  <r>
    <s v="TXN0117"/>
    <x v="7"/>
    <x v="0"/>
    <x v="7"/>
    <n v="78497"/>
    <x v="1"/>
    <n v="13"/>
    <x v="1"/>
  </r>
  <r>
    <s v="TXN0118"/>
    <x v="3"/>
    <x v="4"/>
    <x v="3"/>
    <n v="89198"/>
    <x v="2"/>
    <n v="2"/>
    <x v="2"/>
  </r>
  <r>
    <s v="TXN0119"/>
    <x v="6"/>
    <x v="5"/>
    <x v="9"/>
    <n v="41929"/>
    <x v="1"/>
    <n v="0"/>
    <x v="1"/>
  </r>
  <r>
    <s v="TXN0120"/>
    <x v="3"/>
    <x v="3"/>
    <x v="6"/>
    <n v="126031"/>
    <x v="2"/>
    <n v="2"/>
    <x v="0"/>
  </r>
  <r>
    <s v="TXN0121"/>
    <x v="3"/>
    <x v="4"/>
    <x v="2"/>
    <n v="11516"/>
    <x v="0"/>
    <n v="1"/>
    <x v="1"/>
  </r>
  <r>
    <s v="TXN0122"/>
    <x v="2"/>
    <x v="4"/>
    <x v="1"/>
    <n v="140361"/>
    <x v="1"/>
    <n v="10"/>
    <x v="0"/>
  </r>
  <r>
    <s v="TXN0123"/>
    <x v="6"/>
    <x v="5"/>
    <x v="0"/>
    <n v="84774"/>
    <x v="0"/>
    <n v="11"/>
    <x v="0"/>
  </r>
  <r>
    <s v="TXN0124"/>
    <x v="4"/>
    <x v="1"/>
    <x v="6"/>
    <n v="78376"/>
    <x v="2"/>
    <n v="4"/>
    <x v="0"/>
  </r>
  <r>
    <s v="TXN0125"/>
    <x v="9"/>
    <x v="0"/>
    <x v="5"/>
    <n v="138569"/>
    <x v="2"/>
    <n v="5"/>
    <x v="0"/>
  </r>
  <r>
    <s v="TXN0126"/>
    <x v="1"/>
    <x v="1"/>
    <x v="9"/>
    <n v="32577"/>
    <x v="2"/>
    <n v="10"/>
    <x v="2"/>
  </r>
  <r>
    <s v="TXN0127"/>
    <x v="0"/>
    <x v="3"/>
    <x v="4"/>
    <n v="68410"/>
    <x v="0"/>
    <n v="14"/>
    <x v="2"/>
  </r>
  <r>
    <s v="TXN0128"/>
    <x v="0"/>
    <x v="2"/>
    <x v="2"/>
    <n v="139731"/>
    <x v="1"/>
    <n v="6"/>
    <x v="1"/>
  </r>
  <r>
    <s v="TXN0129"/>
    <x v="5"/>
    <x v="1"/>
    <x v="1"/>
    <n v="79101"/>
    <x v="2"/>
    <n v="3"/>
    <x v="2"/>
  </r>
  <r>
    <s v="TXN0130"/>
    <x v="9"/>
    <x v="2"/>
    <x v="7"/>
    <n v="95281"/>
    <x v="1"/>
    <n v="8"/>
    <x v="0"/>
  </r>
  <r>
    <s v="TXN0131"/>
    <x v="7"/>
    <x v="3"/>
    <x v="0"/>
    <n v="139472"/>
    <x v="0"/>
    <n v="7"/>
    <x v="0"/>
  </r>
  <r>
    <s v="TXN0132"/>
    <x v="1"/>
    <x v="5"/>
    <x v="4"/>
    <n v="134150"/>
    <x v="0"/>
    <n v="8"/>
    <x v="1"/>
  </r>
  <r>
    <s v="TXN0133"/>
    <x v="0"/>
    <x v="5"/>
    <x v="7"/>
    <n v="113776"/>
    <x v="2"/>
    <n v="5"/>
    <x v="1"/>
  </r>
  <r>
    <s v="TXN0134"/>
    <x v="2"/>
    <x v="0"/>
    <x v="6"/>
    <n v="110582"/>
    <x v="2"/>
    <n v="2"/>
    <x v="0"/>
  </r>
  <r>
    <s v="TXN0135"/>
    <x v="6"/>
    <x v="3"/>
    <x v="7"/>
    <n v="110916"/>
    <x v="2"/>
    <n v="10"/>
    <x v="1"/>
  </r>
  <r>
    <s v="TXN0136"/>
    <x v="6"/>
    <x v="4"/>
    <x v="3"/>
    <n v="93307"/>
    <x v="0"/>
    <n v="1"/>
    <x v="1"/>
  </r>
  <r>
    <s v="TXN0137"/>
    <x v="6"/>
    <x v="4"/>
    <x v="11"/>
    <n v="85961"/>
    <x v="2"/>
    <n v="14"/>
    <x v="2"/>
  </r>
  <r>
    <s v="TXN0138"/>
    <x v="4"/>
    <x v="5"/>
    <x v="11"/>
    <n v="61048"/>
    <x v="2"/>
    <n v="3"/>
    <x v="1"/>
  </r>
  <r>
    <s v="TXN0139"/>
    <x v="6"/>
    <x v="3"/>
    <x v="9"/>
    <n v="39991"/>
    <x v="0"/>
    <n v="0"/>
    <x v="2"/>
  </r>
  <r>
    <s v="TXN0140"/>
    <x v="9"/>
    <x v="5"/>
    <x v="11"/>
    <n v="128063"/>
    <x v="1"/>
    <n v="1"/>
    <x v="0"/>
  </r>
  <r>
    <s v="TXN0141"/>
    <x v="1"/>
    <x v="1"/>
    <x v="10"/>
    <n v="79095"/>
    <x v="1"/>
    <n v="14"/>
    <x v="2"/>
  </r>
  <r>
    <s v="TXN0142"/>
    <x v="5"/>
    <x v="1"/>
    <x v="10"/>
    <n v="28341"/>
    <x v="2"/>
    <n v="13"/>
    <x v="2"/>
  </r>
  <r>
    <s v="TXN0143"/>
    <x v="9"/>
    <x v="1"/>
    <x v="8"/>
    <n v="137741"/>
    <x v="0"/>
    <n v="5"/>
    <x v="1"/>
  </r>
  <r>
    <s v="TXN0144"/>
    <x v="3"/>
    <x v="2"/>
    <x v="3"/>
    <n v="21203"/>
    <x v="2"/>
    <n v="12"/>
    <x v="1"/>
  </r>
  <r>
    <s v="TXN0145"/>
    <x v="2"/>
    <x v="2"/>
    <x v="8"/>
    <n v="29767"/>
    <x v="2"/>
    <n v="3"/>
    <x v="2"/>
  </r>
  <r>
    <s v="TXN0146"/>
    <x v="9"/>
    <x v="4"/>
    <x v="7"/>
    <n v="19312"/>
    <x v="1"/>
    <n v="5"/>
    <x v="2"/>
  </r>
  <r>
    <s v="TXN0147"/>
    <x v="0"/>
    <x v="5"/>
    <x v="11"/>
    <n v="63055"/>
    <x v="1"/>
    <n v="10"/>
    <x v="1"/>
  </r>
  <r>
    <s v="TXN0148"/>
    <x v="6"/>
    <x v="2"/>
    <x v="5"/>
    <n v="97824"/>
    <x v="1"/>
    <n v="0"/>
    <x v="0"/>
  </r>
  <r>
    <s v="TXN0149"/>
    <x v="1"/>
    <x v="1"/>
    <x v="4"/>
    <n v="47451"/>
    <x v="0"/>
    <n v="5"/>
    <x v="2"/>
  </r>
  <r>
    <s v="TXN0150"/>
    <x v="7"/>
    <x v="3"/>
    <x v="1"/>
    <n v="146054"/>
    <x v="2"/>
    <n v="8"/>
    <x v="0"/>
  </r>
  <r>
    <s v="TXN0151"/>
    <x v="8"/>
    <x v="1"/>
    <x v="9"/>
    <n v="44154"/>
    <x v="2"/>
    <n v="9"/>
    <x v="1"/>
  </r>
  <r>
    <s v="TXN0152"/>
    <x v="5"/>
    <x v="1"/>
    <x v="5"/>
    <n v="127328"/>
    <x v="0"/>
    <n v="0"/>
    <x v="2"/>
  </r>
  <r>
    <s v="TXN0153"/>
    <x v="4"/>
    <x v="1"/>
    <x v="3"/>
    <n v="148102"/>
    <x v="2"/>
    <n v="10"/>
    <x v="1"/>
  </r>
  <r>
    <s v="TXN0154"/>
    <x v="1"/>
    <x v="3"/>
    <x v="8"/>
    <n v="92138"/>
    <x v="2"/>
    <n v="12"/>
    <x v="1"/>
  </r>
  <r>
    <s v="TXN0155"/>
    <x v="7"/>
    <x v="5"/>
    <x v="8"/>
    <n v="14516"/>
    <x v="1"/>
    <n v="10"/>
    <x v="2"/>
  </r>
  <r>
    <s v="TXN0156"/>
    <x v="2"/>
    <x v="3"/>
    <x v="4"/>
    <n v="58586"/>
    <x v="2"/>
    <n v="6"/>
    <x v="1"/>
  </r>
  <r>
    <s v="TXN0157"/>
    <x v="9"/>
    <x v="1"/>
    <x v="9"/>
    <n v="78309"/>
    <x v="0"/>
    <n v="10"/>
    <x v="1"/>
  </r>
  <r>
    <s v="TXN0158"/>
    <x v="9"/>
    <x v="0"/>
    <x v="11"/>
    <n v="76061"/>
    <x v="1"/>
    <n v="15"/>
    <x v="2"/>
  </r>
  <r>
    <s v="TXN0159"/>
    <x v="7"/>
    <x v="3"/>
    <x v="4"/>
    <n v="133197"/>
    <x v="0"/>
    <n v="2"/>
    <x v="1"/>
  </r>
  <r>
    <s v="TXN0160"/>
    <x v="7"/>
    <x v="2"/>
    <x v="9"/>
    <n v="24609"/>
    <x v="0"/>
    <n v="12"/>
    <x v="1"/>
  </r>
  <r>
    <s v="TXN0161"/>
    <x v="5"/>
    <x v="1"/>
    <x v="8"/>
    <n v="43125"/>
    <x v="2"/>
    <n v="6"/>
    <x v="0"/>
  </r>
  <r>
    <s v="TXN0162"/>
    <x v="2"/>
    <x v="2"/>
    <x v="8"/>
    <n v="127738"/>
    <x v="1"/>
    <n v="10"/>
    <x v="2"/>
  </r>
  <r>
    <s v="TXN0163"/>
    <x v="3"/>
    <x v="2"/>
    <x v="11"/>
    <n v="71947"/>
    <x v="2"/>
    <n v="1"/>
    <x v="2"/>
  </r>
  <r>
    <s v="TXN0164"/>
    <x v="5"/>
    <x v="1"/>
    <x v="4"/>
    <n v="97503"/>
    <x v="0"/>
    <n v="7"/>
    <x v="2"/>
  </r>
  <r>
    <s v="TXN0165"/>
    <x v="3"/>
    <x v="2"/>
    <x v="3"/>
    <n v="59911"/>
    <x v="2"/>
    <n v="15"/>
    <x v="2"/>
  </r>
  <r>
    <s v="TXN0166"/>
    <x v="5"/>
    <x v="3"/>
    <x v="0"/>
    <n v="34172"/>
    <x v="0"/>
    <n v="11"/>
    <x v="1"/>
  </r>
  <r>
    <s v="TXN0167"/>
    <x v="9"/>
    <x v="0"/>
    <x v="10"/>
    <n v="61090"/>
    <x v="0"/>
    <n v="9"/>
    <x v="1"/>
  </r>
  <r>
    <s v="TXN0168"/>
    <x v="5"/>
    <x v="5"/>
    <x v="11"/>
    <n v="100750"/>
    <x v="0"/>
    <n v="10"/>
    <x v="2"/>
  </r>
  <r>
    <s v="TXN0169"/>
    <x v="8"/>
    <x v="4"/>
    <x v="7"/>
    <n v="33806"/>
    <x v="0"/>
    <n v="3"/>
    <x v="0"/>
  </r>
  <r>
    <s v="TXN0170"/>
    <x v="5"/>
    <x v="4"/>
    <x v="6"/>
    <n v="97352"/>
    <x v="2"/>
    <n v="13"/>
    <x v="2"/>
  </r>
  <r>
    <s v="TXN0171"/>
    <x v="6"/>
    <x v="3"/>
    <x v="7"/>
    <n v="78965"/>
    <x v="1"/>
    <n v="2"/>
    <x v="2"/>
  </r>
  <r>
    <s v="TXN0172"/>
    <x v="9"/>
    <x v="3"/>
    <x v="6"/>
    <n v="78944"/>
    <x v="0"/>
    <n v="4"/>
    <x v="0"/>
  </r>
  <r>
    <s v="TXN0173"/>
    <x v="3"/>
    <x v="2"/>
    <x v="5"/>
    <n v="29428"/>
    <x v="1"/>
    <n v="3"/>
    <x v="2"/>
  </r>
  <r>
    <s v="TXN0174"/>
    <x v="9"/>
    <x v="4"/>
    <x v="5"/>
    <n v="10724"/>
    <x v="1"/>
    <n v="12"/>
    <x v="0"/>
  </r>
  <r>
    <s v="TXN0175"/>
    <x v="0"/>
    <x v="2"/>
    <x v="5"/>
    <n v="14619"/>
    <x v="2"/>
    <n v="4"/>
    <x v="2"/>
  </r>
  <r>
    <s v="TXN0176"/>
    <x v="1"/>
    <x v="0"/>
    <x v="4"/>
    <n v="68292"/>
    <x v="0"/>
    <n v="13"/>
    <x v="1"/>
  </r>
  <r>
    <s v="TXN0177"/>
    <x v="8"/>
    <x v="3"/>
    <x v="3"/>
    <n v="89001"/>
    <x v="2"/>
    <n v="13"/>
    <x v="1"/>
  </r>
  <r>
    <s v="TXN0178"/>
    <x v="4"/>
    <x v="5"/>
    <x v="9"/>
    <n v="121722"/>
    <x v="2"/>
    <n v="8"/>
    <x v="0"/>
  </r>
  <r>
    <s v="TXN0179"/>
    <x v="8"/>
    <x v="0"/>
    <x v="5"/>
    <n v="56398"/>
    <x v="2"/>
    <n v="8"/>
    <x v="2"/>
  </r>
  <r>
    <s v="TXN0180"/>
    <x v="4"/>
    <x v="5"/>
    <x v="10"/>
    <n v="36983"/>
    <x v="0"/>
    <n v="15"/>
    <x v="2"/>
  </r>
  <r>
    <s v="TXN0181"/>
    <x v="7"/>
    <x v="1"/>
    <x v="2"/>
    <n v="14030"/>
    <x v="0"/>
    <n v="12"/>
    <x v="2"/>
  </r>
  <r>
    <s v="TXN0182"/>
    <x v="3"/>
    <x v="0"/>
    <x v="11"/>
    <n v="87321"/>
    <x v="2"/>
    <n v="13"/>
    <x v="2"/>
  </r>
  <r>
    <s v="TXN0183"/>
    <x v="4"/>
    <x v="0"/>
    <x v="0"/>
    <n v="29569"/>
    <x v="1"/>
    <n v="0"/>
    <x v="1"/>
  </r>
  <r>
    <s v="TXN0184"/>
    <x v="8"/>
    <x v="2"/>
    <x v="6"/>
    <n v="28295"/>
    <x v="1"/>
    <n v="12"/>
    <x v="2"/>
  </r>
  <r>
    <s v="TXN0185"/>
    <x v="8"/>
    <x v="5"/>
    <x v="2"/>
    <n v="24840"/>
    <x v="1"/>
    <n v="1"/>
    <x v="2"/>
  </r>
  <r>
    <s v="TXN0186"/>
    <x v="8"/>
    <x v="1"/>
    <x v="1"/>
    <n v="148570"/>
    <x v="1"/>
    <n v="5"/>
    <x v="2"/>
  </r>
  <r>
    <s v="TXN0187"/>
    <x v="9"/>
    <x v="4"/>
    <x v="4"/>
    <n v="11798"/>
    <x v="0"/>
    <n v="2"/>
    <x v="2"/>
  </r>
  <r>
    <s v="TXN0188"/>
    <x v="9"/>
    <x v="5"/>
    <x v="5"/>
    <n v="95409"/>
    <x v="0"/>
    <n v="10"/>
    <x v="1"/>
  </r>
  <r>
    <s v="TXN0189"/>
    <x v="4"/>
    <x v="4"/>
    <x v="0"/>
    <n v="72677"/>
    <x v="0"/>
    <n v="13"/>
    <x v="1"/>
  </r>
  <r>
    <s v="TXN0190"/>
    <x v="7"/>
    <x v="5"/>
    <x v="6"/>
    <n v="139731"/>
    <x v="0"/>
    <n v="4"/>
    <x v="0"/>
  </r>
  <r>
    <s v="TXN0191"/>
    <x v="9"/>
    <x v="3"/>
    <x v="0"/>
    <n v="26401"/>
    <x v="1"/>
    <n v="8"/>
    <x v="1"/>
  </r>
  <r>
    <s v="TXN0192"/>
    <x v="3"/>
    <x v="2"/>
    <x v="2"/>
    <n v="112586"/>
    <x v="1"/>
    <n v="5"/>
    <x v="1"/>
  </r>
  <r>
    <s v="TXN0193"/>
    <x v="8"/>
    <x v="2"/>
    <x v="11"/>
    <n v="104445"/>
    <x v="2"/>
    <n v="10"/>
    <x v="1"/>
  </r>
  <r>
    <s v="TXN0194"/>
    <x v="4"/>
    <x v="1"/>
    <x v="11"/>
    <n v="64783"/>
    <x v="1"/>
    <n v="3"/>
    <x v="0"/>
  </r>
  <r>
    <s v="TXN0195"/>
    <x v="4"/>
    <x v="1"/>
    <x v="3"/>
    <n v="82970"/>
    <x v="2"/>
    <n v="13"/>
    <x v="2"/>
  </r>
  <r>
    <s v="TXN0196"/>
    <x v="4"/>
    <x v="2"/>
    <x v="4"/>
    <n v="49512"/>
    <x v="0"/>
    <n v="10"/>
    <x v="1"/>
  </r>
  <r>
    <s v="TXN0197"/>
    <x v="3"/>
    <x v="1"/>
    <x v="9"/>
    <n v="46438"/>
    <x v="1"/>
    <n v="12"/>
    <x v="0"/>
  </r>
  <r>
    <s v="TXN0198"/>
    <x v="4"/>
    <x v="1"/>
    <x v="5"/>
    <n v="57477"/>
    <x v="2"/>
    <n v="11"/>
    <x v="2"/>
  </r>
  <r>
    <s v="TXN0199"/>
    <x v="9"/>
    <x v="2"/>
    <x v="1"/>
    <n v="64885"/>
    <x v="0"/>
    <n v="14"/>
    <x v="2"/>
  </r>
  <r>
    <s v="TXN0200"/>
    <x v="1"/>
    <x v="0"/>
    <x v="4"/>
    <n v="55307"/>
    <x v="0"/>
    <n v="5"/>
    <x v="2"/>
  </r>
  <r>
    <s v="TXN0201"/>
    <x v="4"/>
    <x v="1"/>
    <x v="0"/>
    <n v="17995"/>
    <x v="0"/>
    <n v="7"/>
    <x v="0"/>
  </r>
  <r>
    <s v="TXN0202"/>
    <x v="4"/>
    <x v="5"/>
    <x v="11"/>
    <n v="45866"/>
    <x v="1"/>
    <n v="0"/>
    <x v="1"/>
  </r>
  <r>
    <s v="TXN0203"/>
    <x v="4"/>
    <x v="0"/>
    <x v="7"/>
    <n v="76854"/>
    <x v="2"/>
    <n v="13"/>
    <x v="2"/>
  </r>
  <r>
    <s v="TXN0204"/>
    <x v="5"/>
    <x v="3"/>
    <x v="5"/>
    <n v="106821"/>
    <x v="0"/>
    <n v="14"/>
    <x v="2"/>
  </r>
  <r>
    <s v="TXN0205"/>
    <x v="6"/>
    <x v="1"/>
    <x v="2"/>
    <n v="60275"/>
    <x v="1"/>
    <n v="7"/>
    <x v="0"/>
  </r>
  <r>
    <s v="TXN0206"/>
    <x v="7"/>
    <x v="2"/>
    <x v="6"/>
    <n v="135622"/>
    <x v="2"/>
    <n v="3"/>
    <x v="2"/>
  </r>
  <r>
    <s v="TXN0207"/>
    <x v="8"/>
    <x v="2"/>
    <x v="4"/>
    <n v="41432"/>
    <x v="2"/>
    <n v="0"/>
    <x v="2"/>
  </r>
  <r>
    <s v="TXN0208"/>
    <x v="8"/>
    <x v="3"/>
    <x v="11"/>
    <n v="146085"/>
    <x v="1"/>
    <n v="3"/>
    <x v="0"/>
  </r>
  <r>
    <s v="TXN0209"/>
    <x v="1"/>
    <x v="2"/>
    <x v="4"/>
    <n v="93837"/>
    <x v="0"/>
    <n v="5"/>
    <x v="1"/>
  </r>
  <r>
    <s v="TXN0210"/>
    <x v="4"/>
    <x v="1"/>
    <x v="6"/>
    <n v="91405"/>
    <x v="1"/>
    <n v="2"/>
    <x v="1"/>
  </r>
  <r>
    <s v="TXN0211"/>
    <x v="8"/>
    <x v="1"/>
    <x v="1"/>
    <n v="32203"/>
    <x v="0"/>
    <n v="12"/>
    <x v="0"/>
  </r>
  <r>
    <s v="TXN0212"/>
    <x v="1"/>
    <x v="3"/>
    <x v="11"/>
    <n v="90796"/>
    <x v="2"/>
    <n v="4"/>
    <x v="0"/>
  </r>
  <r>
    <s v="TXN0213"/>
    <x v="3"/>
    <x v="4"/>
    <x v="5"/>
    <n v="82383"/>
    <x v="0"/>
    <n v="9"/>
    <x v="1"/>
  </r>
  <r>
    <s v="TXN0214"/>
    <x v="3"/>
    <x v="3"/>
    <x v="8"/>
    <n v="29179"/>
    <x v="2"/>
    <n v="9"/>
    <x v="1"/>
  </r>
  <r>
    <s v="TXN0215"/>
    <x v="8"/>
    <x v="2"/>
    <x v="6"/>
    <n v="30080"/>
    <x v="2"/>
    <n v="0"/>
    <x v="0"/>
  </r>
  <r>
    <s v="TXN0216"/>
    <x v="3"/>
    <x v="0"/>
    <x v="2"/>
    <n v="79916"/>
    <x v="0"/>
    <n v="4"/>
    <x v="0"/>
  </r>
  <r>
    <s v="TXN0217"/>
    <x v="9"/>
    <x v="5"/>
    <x v="8"/>
    <n v="138841"/>
    <x v="2"/>
    <n v="11"/>
    <x v="1"/>
  </r>
  <r>
    <s v="TXN0218"/>
    <x v="6"/>
    <x v="3"/>
    <x v="10"/>
    <n v="144393"/>
    <x v="1"/>
    <n v="5"/>
    <x v="1"/>
  </r>
  <r>
    <s v="TXN0219"/>
    <x v="1"/>
    <x v="4"/>
    <x v="0"/>
    <n v="35663"/>
    <x v="1"/>
    <n v="5"/>
    <x v="0"/>
  </r>
  <r>
    <s v="TXN0220"/>
    <x v="5"/>
    <x v="1"/>
    <x v="2"/>
    <n v="74078"/>
    <x v="0"/>
    <n v="10"/>
    <x v="0"/>
  </r>
  <r>
    <s v="TXN0221"/>
    <x v="9"/>
    <x v="5"/>
    <x v="4"/>
    <n v="102393"/>
    <x v="2"/>
    <n v="6"/>
    <x v="0"/>
  </r>
  <r>
    <s v="TXN0222"/>
    <x v="2"/>
    <x v="4"/>
    <x v="10"/>
    <n v="44940"/>
    <x v="0"/>
    <n v="12"/>
    <x v="0"/>
  </r>
  <r>
    <s v="TXN0223"/>
    <x v="3"/>
    <x v="5"/>
    <x v="1"/>
    <n v="59451"/>
    <x v="2"/>
    <n v="1"/>
    <x v="0"/>
  </r>
  <r>
    <s v="TXN0224"/>
    <x v="3"/>
    <x v="1"/>
    <x v="0"/>
    <n v="81016"/>
    <x v="0"/>
    <n v="12"/>
    <x v="1"/>
  </r>
  <r>
    <s v="TXN0225"/>
    <x v="3"/>
    <x v="1"/>
    <x v="10"/>
    <n v="40612"/>
    <x v="1"/>
    <n v="11"/>
    <x v="2"/>
  </r>
  <r>
    <s v="TXN0226"/>
    <x v="4"/>
    <x v="2"/>
    <x v="9"/>
    <n v="43587"/>
    <x v="1"/>
    <n v="1"/>
    <x v="0"/>
  </r>
  <r>
    <s v="TXN0227"/>
    <x v="0"/>
    <x v="2"/>
    <x v="9"/>
    <n v="12925"/>
    <x v="2"/>
    <n v="8"/>
    <x v="2"/>
  </r>
  <r>
    <s v="TXN0228"/>
    <x v="1"/>
    <x v="3"/>
    <x v="7"/>
    <n v="32144"/>
    <x v="2"/>
    <n v="7"/>
    <x v="1"/>
  </r>
  <r>
    <s v="TXN0229"/>
    <x v="3"/>
    <x v="0"/>
    <x v="3"/>
    <n v="142932"/>
    <x v="1"/>
    <n v="5"/>
    <x v="2"/>
  </r>
  <r>
    <s v="TXN0230"/>
    <x v="4"/>
    <x v="1"/>
    <x v="6"/>
    <n v="77219"/>
    <x v="2"/>
    <n v="14"/>
    <x v="2"/>
  </r>
  <r>
    <s v="TXN0231"/>
    <x v="2"/>
    <x v="5"/>
    <x v="10"/>
    <n v="109264"/>
    <x v="1"/>
    <n v="5"/>
    <x v="1"/>
  </r>
  <r>
    <s v="TXN0232"/>
    <x v="0"/>
    <x v="0"/>
    <x v="9"/>
    <n v="63932"/>
    <x v="2"/>
    <n v="15"/>
    <x v="1"/>
  </r>
  <r>
    <s v="TXN0233"/>
    <x v="3"/>
    <x v="0"/>
    <x v="8"/>
    <n v="37346"/>
    <x v="0"/>
    <n v="13"/>
    <x v="1"/>
  </r>
  <r>
    <s v="TXN0234"/>
    <x v="9"/>
    <x v="4"/>
    <x v="10"/>
    <n v="139972"/>
    <x v="0"/>
    <n v="12"/>
    <x v="1"/>
  </r>
  <r>
    <s v="TXN0235"/>
    <x v="2"/>
    <x v="2"/>
    <x v="6"/>
    <n v="46550"/>
    <x v="1"/>
    <n v="15"/>
    <x v="0"/>
  </r>
  <r>
    <s v="TXN0236"/>
    <x v="2"/>
    <x v="3"/>
    <x v="3"/>
    <n v="23647"/>
    <x v="1"/>
    <n v="6"/>
    <x v="2"/>
  </r>
  <r>
    <s v="TXN0237"/>
    <x v="7"/>
    <x v="2"/>
    <x v="9"/>
    <n v="27320"/>
    <x v="2"/>
    <n v="2"/>
    <x v="2"/>
  </r>
  <r>
    <s v="TXN0238"/>
    <x v="4"/>
    <x v="1"/>
    <x v="0"/>
    <n v="22720"/>
    <x v="2"/>
    <n v="5"/>
    <x v="0"/>
  </r>
  <r>
    <s v="TXN0239"/>
    <x v="0"/>
    <x v="0"/>
    <x v="2"/>
    <n v="64261"/>
    <x v="0"/>
    <n v="8"/>
    <x v="1"/>
  </r>
  <r>
    <s v="TXN0240"/>
    <x v="7"/>
    <x v="0"/>
    <x v="0"/>
    <n v="23187"/>
    <x v="2"/>
    <n v="4"/>
    <x v="0"/>
  </r>
  <r>
    <s v="TXN0241"/>
    <x v="3"/>
    <x v="5"/>
    <x v="4"/>
    <n v="125720"/>
    <x v="2"/>
    <n v="9"/>
    <x v="1"/>
  </r>
  <r>
    <s v="TXN0242"/>
    <x v="0"/>
    <x v="2"/>
    <x v="10"/>
    <n v="84269"/>
    <x v="0"/>
    <n v="10"/>
    <x v="0"/>
  </r>
  <r>
    <s v="TXN0243"/>
    <x v="0"/>
    <x v="2"/>
    <x v="8"/>
    <n v="107472"/>
    <x v="2"/>
    <n v="10"/>
    <x v="1"/>
  </r>
  <r>
    <s v="TXN0244"/>
    <x v="4"/>
    <x v="1"/>
    <x v="1"/>
    <n v="13589"/>
    <x v="0"/>
    <n v="15"/>
    <x v="1"/>
  </r>
  <r>
    <s v="TXN0245"/>
    <x v="9"/>
    <x v="1"/>
    <x v="0"/>
    <n v="59107"/>
    <x v="2"/>
    <n v="8"/>
    <x v="0"/>
  </r>
  <r>
    <s v="TXN0246"/>
    <x v="7"/>
    <x v="4"/>
    <x v="8"/>
    <n v="68930"/>
    <x v="2"/>
    <n v="5"/>
    <x v="2"/>
  </r>
  <r>
    <s v="TXN0247"/>
    <x v="4"/>
    <x v="5"/>
    <x v="7"/>
    <n v="117834"/>
    <x v="2"/>
    <n v="6"/>
    <x v="1"/>
  </r>
  <r>
    <s v="TXN0248"/>
    <x v="4"/>
    <x v="5"/>
    <x v="2"/>
    <n v="35349"/>
    <x v="2"/>
    <n v="3"/>
    <x v="0"/>
  </r>
  <r>
    <s v="TXN0249"/>
    <x v="4"/>
    <x v="4"/>
    <x v="0"/>
    <n v="83052"/>
    <x v="1"/>
    <n v="8"/>
    <x v="2"/>
  </r>
  <r>
    <s v="TXN0250"/>
    <x v="8"/>
    <x v="4"/>
    <x v="9"/>
    <n v="144129"/>
    <x v="1"/>
    <n v="3"/>
    <x v="1"/>
  </r>
  <r>
    <s v="TXN0251"/>
    <x v="8"/>
    <x v="0"/>
    <x v="4"/>
    <n v="62426"/>
    <x v="0"/>
    <n v="9"/>
    <x v="2"/>
  </r>
  <r>
    <s v="TXN0252"/>
    <x v="7"/>
    <x v="1"/>
    <x v="6"/>
    <n v="51218"/>
    <x v="2"/>
    <n v="2"/>
    <x v="0"/>
  </r>
  <r>
    <s v="TXN0253"/>
    <x v="5"/>
    <x v="1"/>
    <x v="7"/>
    <n v="140719"/>
    <x v="0"/>
    <n v="0"/>
    <x v="2"/>
  </r>
  <r>
    <s v="TXN0254"/>
    <x v="2"/>
    <x v="2"/>
    <x v="7"/>
    <n v="51711"/>
    <x v="0"/>
    <n v="8"/>
    <x v="2"/>
  </r>
  <r>
    <s v="TXN0255"/>
    <x v="7"/>
    <x v="3"/>
    <x v="4"/>
    <n v="17946"/>
    <x v="2"/>
    <n v="14"/>
    <x v="1"/>
  </r>
  <r>
    <s v="TXN0256"/>
    <x v="5"/>
    <x v="3"/>
    <x v="11"/>
    <n v="100959"/>
    <x v="1"/>
    <n v="8"/>
    <x v="1"/>
  </r>
  <r>
    <s v="TXN0257"/>
    <x v="2"/>
    <x v="3"/>
    <x v="1"/>
    <n v="99925"/>
    <x v="0"/>
    <n v="11"/>
    <x v="1"/>
  </r>
  <r>
    <s v="TXN0258"/>
    <x v="4"/>
    <x v="0"/>
    <x v="2"/>
    <n v="94223"/>
    <x v="0"/>
    <n v="6"/>
    <x v="1"/>
  </r>
  <r>
    <s v="TXN0259"/>
    <x v="7"/>
    <x v="4"/>
    <x v="7"/>
    <n v="103061"/>
    <x v="2"/>
    <n v="15"/>
    <x v="1"/>
  </r>
  <r>
    <s v="TXN0260"/>
    <x v="3"/>
    <x v="2"/>
    <x v="2"/>
    <n v="85773"/>
    <x v="0"/>
    <n v="11"/>
    <x v="1"/>
  </r>
  <r>
    <s v="TXN0261"/>
    <x v="8"/>
    <x v="5"/>
    <x v="4"/>
    <n v="60383"/>
    <x v="2"/>
    <n v="9"/>
    <x v="0"/>
  </r>
  <r>
    <s v="TXN0262"/>
    <x v="6"/>
    <x v="5"/>
    <x v="2"/>
    <n v="149345"/>
    <x v="0"/>
    <n v="8"/>
    <x v="1"/>
  </r>
  <r>
    <s v="TXN0263"/>
    <x v="2"/>
    <x v="4"/>
    <x v="6"/>
    <n v="146886"/>
    <x v="2"/>
    <n v="8"/>
    <x v="2"/>
  </r>
  <r>
    <s v="TXN0264"/>
    <x v="7"/>
    <x v="5"/>
    <x v="8"/>
    <n v="23775"/>
    <x v="2"/>
    <n v="10"/>
    <x v="2"/>
  </r>
  <r>
    <s v="TXN0265"/>
    <x v="9"/>
    <x v="1"/>
    <x v="1"/>
    <n v="66986"/>
    <x v="0"/>
    <n v="15"/>
    <x v="0"/>
  </r>
  <r>
    <s v="TXN0266"/>
    <x v="5"/>
    <x v="0"/>
    <x v="11"/>
    <n v="57668"/>
    <x v="0"/>
    <n v="10"/>
    <x v="2"/>
  </r>
  <r>
    <s v="TXN0267"/>
    <x v="0"/>
    <x v="4"/>
    <x v="4"/>
    <n v="70106"/>
    <x v="0"/>
    <n v="2"/>
    <x v="2"/>
  </r>
  <r>
    <s v="TXN0268"/>
    <x v="3"/>
    <x v="4"/>
    <x v="4"/>
    <n v="25780"/>
    <x v="0"/>
    <n v="13"/>
    <x v="0"/>
  </r>
  <r>
    <s v="TXN0269"/>
    <x v="5"/>
    <x v="1"/>
    <x v="9"/>
    <n v="42761"/>
    <x v="1"/>
    <n v="4"/>
    <x v="0"/>
  </r>
  <r>
    <s v="TXN0270"/>
    <x v="8"/>
    <x v="5"/>
    <x v="10"/>
    <n v="73754"/>
    <x v="2"/>
    <n v="1"/>
    <x v="2"/>
  </r>
  <r>
    <s v="TXN0271"/>
    <x v="0"/>
    <x v="0"/>
    <x v="6"/>
    <n v="55739"/>
    <x v="1"/>
    <n v="13"/>
    <x v="2"/>
  </r>
  <r>
    <s v="TXN0272"/>
    <x v="2"/>
    <x v="3"/>
    <x v="0"/>
    <n v="111644"/>
    <x v="1"/>
    <n v="2"/>
    <x v="0"/>
  </r>
  <r>
    <s v="TXN0273"/>
    <x v="3"/>
    <x v="1"/>
    <x v="11"/>
    <n v="81555"/>
    <x v="1"/>
    <n v="13"/>
    <x v="2"/>
  </r>
  <r>
    <s v="TXN0274"/>
    <x v="3"/>
    <x v="3"/>
    <x v="5"/>
    <n v="127719"/>
    <x v="1"/>
    <n v="13"/>
    <x v="1"/>
  </r>
  <r>
    <s v="TXN0275"/>
    <x v="0"/>
    <x v="1"/>
    <x v="11"/>
    <n v="40558"/>
    <x v="0"/>
    <n v="3"/>
    <x v="0"/>
  </r>
  <r>
    <s v="TXN0276"/>
    <x v="6"/>
    <x v="0"/>
    <x v="5"/>
    <n v="95405"/>
    <x v="1"/>
    <n v="4"/>
    <x v="0"/>
  </r>
  <r>
    <s v="TXN0277"/>
    <x v="8"/>
    <x v="4"/>
    <x v="8"/>
    <n v="13627"/>
    <x v="1"/>
    <n v="5"/>
    <x v="0"/>
  </r>
  <r>
    <s v="TXN0278"/>
    <x v="8"/>
    <x v="3"/>
    <x v="0"/>
    <n v="121708"/>
    <x v="2"/>
    <n v="14"/>
    <x v="1"/>
  </r>
  <r>
    <s v="TXN0279"/>
    <x v="5"/>
    <x v="0"/>
    <x v="9"/>
    <n v="61952"/>
    <x v="1"/>
    <n v="5"/>
    <x v="0"/>
  </r>
  <r>
    <s v="TXN0280"/>
    <x v="2"/>
    <x v="4"/>
    <x v="9"/>
    <n v="102113"/>
    <x v="1"/>
    <n v="14"/>
    <x v="2"/>
  </r>
  <r>
    <s v="TXN0281"/>
    <x v="1"/>
    <x v="3"/>
    <x v="9"/>
    <n v="15456"/>
    <x v="2"/>
    <n v="0"/>
    <x v="2"/>
  </r>
  <r>
    <s v="TXN0282"/>
    <x v="0"/>
    <x v="4"/>
    <x v="10"/>
    <n v="54345"/>
    <x v="2"/>
    <n v="14"/>
    <x v="2"/>
  </r>
  <r>
    <s v="TXN0283"/>
    <x v="8"/>
    <x v="1"/>
    <x v="5"/>
    <n v="92468"/>
    <x v="2"/>
    <n v="8"/>
    <x v="1"/>
  </r>
  <r>
    <s v="TXN0284"/>
    <x v="4"/>
    <x v="0"/>
    <x v="11"/>
    <n v="19777"/>
    <x v="2"/>
    <n v="14"/>
    <x v="1"/>
  </r>
  <r>
    <s v="TXN0285"/>
    <x v="6"/>
    <x v="1"/>
    <x v="1"/>
    <n v="115723"/>
    <x v="0"/>
    <n v="3"/>
    <x v="2"/>
  </r>
  <r>
    <s v="TXN0286"/>
    <x v="2"/>
    <x v="1"/>
    <x v="11"/>
    <n v="58650"/>
    <x v="1"/>
    <n v="5"/>
    <x v="0"/>
  </r>
  <r>
    <s v="TXN0287"/>
    <x v="8"/>
    <x v="0"/>
    <x v="2"/>
    <n v="102763"/>
    <x v="1"/>
    <n v="10"/>
    <x v="1"/>
  </r>
  <r>
    <s v="TXN0288"/>
    <x v="0"/>
    <x v="4"/>
    <x v="7"/>
    <n v="25103"/>
    <x v="0"/>
    <n v="3"/>
    <x v="2"/>
  </r>
  <r>
    <s v="TXN0289"/>
    <x v="6"/>
    <x v="5"/>
    <x v="8"/>
    <n v="69467"/>
    <x v="0"/>
    <n v="8"/>
    <x v="1"/>
  </r>
  <r>
    <s v="TXN0290"/>
    <x v="1"/>
    <x v="2"/>
    <x v="5"/>
    <n v="17993"/>
    <x v="0"/>
    <n v="5"/>
    <x v="1"/>
  </r>
  <r>
    <s v="TXN0291"/>
    <x v="3"/>
    <x v="0"/>
    <x v="9"/>
    <n v="64442"/>
    <x v="1"/>
    <n v="4"/>
    <x v="1"/>
  </r>
  <r>
    <s v="TXN0292"/>
    <x v="1"/>
    <x v="2"/>
    <x v="4"/>
    <n v="69297"/>
    <x v="2"/>
    <n v="11"/>
    <x v="2"/>
  </r>
  <r>
    <s v="TXN0293"/>
    <x v="2"/>
    <x v="4"/>
    <x v="6"/>
    <n v="23979"/>
    <x v="1"/>
    <n v="9"/>
    <x v="2"/>
  </r>
  <r>
    <s v="TXN0294"/>
    <x v="8"/>
    <x v="4"/>
    <x v="6"/>
    <n v="34467"/>
    <x v="1"/>
    <n v="3"/>
    <x v="1"/>
  </r>
  <r>
    <s v="TXN0295"/>
    <x v="0"/>
    <x v="4"/>
    <x v="2"/>
    <n v="48285"/>
    <x v="1"/>
    <n v="5"/>
    <x v="1"/>
  </r>
  <r>
    <s v="TXN0296"/>
    <x v="1"/>
    <x v="2"/>
    <x v="3"/>
    <n v="94901"/>
    <x v="1"/>
    <n v="4"/>
    <x v="2"/>
  </r>
  <r>
    <s v="TXN0297"/>
    <x v="5"/>
    <x v="4"/>
    <x v="11"/>
    <n v="30987"/>
    <x v="2"/>
    <n v="4"/>
    <x v="0"/>
  </r>
  <r>
    <s v="TXN0298"/>
    <x v="7"/>
    <x v="0"/>
    <x v="10"/>
    <n v="42070"/>
    <x v="2"/>
    <n v="7"/>
    <x v="1"/>
  </r>
  <r>
    <s v="TXN0299"/>
    <x v="6"/>
    <x v="4"/>
    <x v="6"/>
    <n v="88301"/>
    <x v="0"/>
    <n v="2"/>
    <x v="1"/>
  </r>
  <r>
    <s v="TXN0300"/>
    <x v="5"/>
    <x v="1"/>
    <x v="11"/>
    <n v="147084"/>
    <x v="0"/>
    <n v="8"/>
    <x v="0"/>
  </r>
  <r>
    <s v="TXN0301"/>
    <x v="6"/>
    <x v="1"/>
    <x v="10"/>
    <n v="43191"/>
    <x v="2"/>
    <n v="2"/>
    <x v="2"/>
  </r>
  <r>
    <s v="TXN0302"/>
    <x v="3"/>
    <x v="5"/>
    <x v="3"/>
    <n v="36077"/>
    <x v="0"/>
    <n v="14"/>
    <x v="0"/>
  </r>
  <r>
    <s v="TXN0303"/>
    <x v="6"/>
    <x v="5"/>
    <x v="4"/>
    <n v="61648"/>
    <x v="1"/>
    <n v="10"/>
    <x v="0"/>
  </r>
  <r>
    <s v="TXN0304"/>
    <x v="7"/>
    <x v="0"/>
    <x v="2"/>
    <n v="15836"/>
    <x v="2"/>
    <n v="9"/>
    <x v="0"/>
  </r>
  <r>
    <s v="TXN0305"/>
    <x v="5"/>
    <x v="3"/>
    <x v="11"/>
    <n v="33917"/>
    <x v="2"/>
    <n v="1"/>
    <x v="0"/>
  </r>
  <r>
    <s v="TXN0306"/>
    <x v="4"/>
    <x v="0"/>
    <x v="0"/>
    <n v="114187"/>
    <x v="2"/>
    <n v="4"/>
    <x v="2"/>
  </r>
  <r>
    <s v="TXN0307"/>
    <x v="6"/>
    <x v="5"/>
    <x v="1"/>
    <n v="29849"/>
    <x v="1"/>
    <n v="0"/>
    <x v="0"/>
  </r>
  <r>
    <s v="TXN0308"/>
    <x v="2"/>
    <x v="5"/>
    <x v="8"/>
    <n v="103498"/>
    <x v="0"/>
    <n v="7"/>
    <x v="2"/>
  </r>
  <r>
    <s v="TXN0309"/>
    <x v="5"/>
    <x v="4"/>
    <x v="10"/>
    <n v="89790"/>
    <x v="0"/>
    <n v="6"/>
    <x v="1"/>
  </r>
  <r>
    <s v="TXN0310"/>
    <x v="4"/>
    <x v="0"/>
    <x v="5"/>
    <n v="103220"/>
    <x v="0"/>
    <n v="6"/>
    <x v="2"/>
  </r>
  <r>
    <s v="TXN0311"/>
    <x v="0"/>
    <x v="3"/>
    <x v="10"/>
    <n v="104821"/>
    <x v="1"/>
    <n v="9"/>
    <x v="1"/>
  </r>
  <r>
    <s v="TXN0312"/>
    <x v="1"/>
    <x v="2"/>
    <x v="9"/>
    <n v="72094"/>
    <x v="1"/>
    <n v="8"/>
    <x v="1"/>
  </r>
  <r>
    <s v="TXN0313"/>
    <x v="7"/>
    <x v="3"/>
    <x v="4"/>
    <n v="97619"/>
    <x v="2"/>
    <n v="11"/>
    <x v="1"/>
  </r>
  <r>
    <s v="TXN0314"/>
    <x v="3"/>
    <x v="3"/>
    <x v="8"/>
    <n v="15255"/>
    <x v="2"/>
    <n v="4"/>
    <x v="1"/>
  </r>
  <r>
    <s v="TXN0315"/>
    <x v="5"/>
    <x v="3"/>
    <x v="2"/>
    <n v="112949"/>
    <x v="2"/>
    <n v="3"/>
    <x v="0"/>
  </r>
  <r>
    <s v="TXN0316"/>
    <x v="8"/>
    <x v="3"/>
    <x v="11"/>
    <n v="137845"/>
    <x v="2"/>
    <n v="9"/>
    <x v="1"/>
  </r>
  <r>
    <s v="TXN0317"/>
    <x v="3"/>
    <x v="5"/>
    <x v="10"/>
    <n v="143374"/>
    <x v="2"/>
    <n v="6"/>
    <x v="1"/>
  </r>
  <r>
    <s v="TXN0318"/>
    <x v="9"/>
    <x v="3"/>
    <x v="4"/>
    <n v="48695"/>
    <x v="1"/>
    <n v="4"/>
    <x v="2"/>
  </r>
  <r>
    <s v="TXN0319"/>
    <x v="8"/>
    <x v="0"/>
    <x v="4"/>
    <n v="39821"/>
    <x v="1"/>
    <n v="7"/>
    <x v="1"/>
  </r>
  <r>
    <s v="TXN0320"/>
    <x v="6"/>
    <x v="0"/>
    <x v="0"/>
    <n v="57826"/>
    <x v="2"/>
    <n v="15"/>
    <x v="0"/>
  </r>
  <r>
    <s v="TXN0321"/>
    <x v="5"/>
    <x v="3"/>
    <x v="1"/>
    <n v="70988"/>
    <x v="1"/>
    <n v="5"/>
    <x v="2"/>
  </r>
  <r>
    <s v="TXN0322"/>
    <x v="2"/>
    <x v="0"/>
    <x v="3"/>
    <n v="145853"/>
    <x v="0"/>
    <n v="3"/>
    <x v="0"/>
  </r>
  <r>
    <s v="TXN0323"/>
    <x v="4"/>
    <x v="5"/>
    <x v="4"/>
    <n v="127772"/>
    <x v="1"/>
    <n v="12"/>
    <x v="2"/>
  </r>
  <r>
    <s v="TXN0324"/>
    <x v="0"/>
    <x v="4"/>
    <x v="9"/>
    <n v="143286"/>
    <x v="0"/>
    <n v="0"/>
    <x v="2"/>
  </r>
  <r>
    <s v="TXN0325"/>
    <x v="7"/>
    <x v="4"/>
    <x v="7"/>
    <n v="96697"/>
    <x v="1"/>
    <n v="1"/>
    <x v="1"/>
  </r>
  <r>
    <s v="TXN0326"/>
    <x v="5"/>
    <x v="0"/>
    <x v="8"/>
    <n v="127368"/>
    <x v="0"/>
    <n v="11"/>
    <x v="0"/>
  </r>
  <r>
    <s v="TXN0327"/>
    <x v="5"/>
    <x v="3"/>
    <x v="2"/>
    <n v="31131"/>
    <x v="2"/>
    <n v="10"/>
    <x v="0"/>
  </r>
  <r>
    <s v="TXN0328"/>
    <x v="0"/>
    <x v="5"/>
    <x v="5"/>
    <n v="23499"/>
    <x v="0"/>
    <n v="0"/>
    <x v="2"/>
  </r>
  <r>
    <s v="TXN0329"/>
    <x v="9"/>
    <x v="2"/>
    <x v="1"/>
    <n v="80169"/>
    <x v="2"/>
    <n v="2"/>
    <x v="1"/>
  </r>
  <r>
    <s v="TXN0330"/>
    <x v="6"/>
    <x v="1"/>
    <x v="11"/>
    <n v="124581"/>
    <x v="2"/>
    <n v="12"/>
    <x v="2"/>
  </r>
  <r>
    <s v="TXN0331"/>
    <x v="7"/>
    <x v="5"/>
    <x v="2"/>
    <n v="140708"/>
    <x v="1"/>
    <n v="7"/>
    <x v="1"/>
  </r>
  <r>
    <s v="TXN0332"/>
    <x v="3"/>
    <x v="2"/>
    <x v="5"/>
    <n v="35982"/>
    <x v="2"/>
    <n v="8"/>
    <x v="0"/>
  </r>
  <r>
    <s v="TXN0333"/>
    <x v="5"/>
    <x v="3"/>
    <x v="2"/>
    <n v="25312"/>
    <x v="2"/>
    <n v="8"/>
    <x v="1"/>
  </r>
  <r>
    <s v="TXN0334"/>
    <x v="3"/>
    <x v="2"/>
    <x v="9"/>
    <n v="91142"/>
    <x v="0"/>
    <n v="7"/>
    <x v="2"/>
  </r>
  <r>
    <s v="TXN0335"/>
    <x v="5"/>
    <x v="0"/>
    <x v="3"/>
    <n v="17585"/>
    <x v="1"/>
    <n v="4"/>
    <x v="0"/>
  </r>
  <r>
    <s v="TXN0336"/>
    <x v="9"/>
    <x v="1"/>
    <x v="6"/>
    <n v="26013"/>
    <x v="0"/>
    <n v="11"/>
    <x v="1"/>
  </r>
  <r>
    <s v="TXN0337"/>
    <x v="9"/>
    <x v="3"/>
    <x v="7"/>
    <n v="21295"/>
    <x v="2"/>
    <n v="12"/>
    <x v="0"/>
  </r>
  <r>
    <s v="TXN0338"/>
    <x v="5"/>
    <x v="1"/>
    <x v="7"/>
    <n v="147381"/>
    <x v="0"/>
    <n v="1"/>
    <x v="1"/>
  </r>
  <r>
    <s v="TXN0339"/>
    <x v="1"/>
    <x v="5"/>
    <x v="9"/>
    <n v="98711"/>
    <x v="0"/>
    <n v="14"/>
    <x v="2"/>
  </r>
  <r>
    <s v="TXN0340"/>
    <x v="1"/>
    <x v="0"/>
    <x v="2"/>
    <n v="100122"/>
    <x v="0"/>
    <n v="6"/>
    <x v="2"/>
  </r>
  <r>
    <s v="TXN0341"/>
    <x v="0"/>
    <x v="2"/>
    <x v="0"/>
    <n v="142460"/>
    <x v="0"/>
    <n v="4"/>
    <x v="1"/>
  </r>
  <r>
    <s v="TXN0342"/>
    <x v="3"/>
    <x v="1"/>
    <x v="0"/>
    <n v="49960"/>
    <x v="1"/>
    <n v="11"/>
    <x v="1"/>
  </r>
  <r>
    <s v="TXN0343"/>
    <x v="8"/>
    <x v="1"/>
    <x v="7"/>
    <n v="105437"/>
    <x v="0"/>
    <n v="1"/>
    <x v="0"/>
  </r>
  <r>
    <s v="TXN0344"/>
    <x v="9"/>
    <x v="2"/>
    <x v="11"/>
    <n v="11646"/>
    <x v="2"/>
    <n v="9"/>
    <x v="0"/>
  </r>
  <r>
    <s v="TXN0345"/>
    <x v="1"/>
    <x v="1"/>
    <x v="8"/>
    <n v="120212"/>
    <x v="2"/>
    <n v="7"/>
    <x v="0"/>
  </r>
  <r>
    <s v="TXN0346"/>
    <x v="6"/>
    <x v="0"/>
    <x v="11"/>
    <n v="112744"/>
    <x v="2"/>
    <n v="5"/>
    <x v="0"/>
  </r>
  <r>
    <s v="TXN0347"/>
    <x v="0"/>
    <x v="1"/>
    <x v="10"/>
    <n v="45223"/>
    <x v="2"/>
    <n v="13"/>
    <x v="2"/>
  </r>
  <r>
    <s v="TXN0348"/>
    <x v="7"/>
    <x v="4"/>
    <x v="11"/>
    <n v="69126"/>
    <x v="0"/>
    <n v="9"/>
    <x v="2"/>
  </r>
  <r>
    <s v="TXN0349"/>
    <x v="9"/>
    <x v="1"/>
    <x v="5"/>
    <n v="13172"/>
    <x v="2"/>
    <n v="9"/>
    <x v="0"/>
  </r>
  <r>
    <s v="TXN0350"/>
    <x v="4"/>
    <x v="4"/>
    <x v="8"/>
    <n v="58887"/>
    <x v="0"/>
    <n v="7"/>
    <x v="2"/>
  </r>
  <r>
    <s v="TXN0351"/>
    <x v="1"/>
    <x v="5"/>
    <x v="11"/>
    <n v="101399"/>
    <x v="0"/>
    <n v="10"/>
    <x v="0"/>
  </r>
  <r>
    <s v="TXN0352"/>
    <x v="8"/>
    <x v="3"/>
    <x v="2"/>
    <n v="117090"/>
    <x v="1"/>
    <n v="4"/>
    <x v="0"/>
  </r>
  <r>
    <s v="TXN0353"/>
    <x v="2"/>
    <x v="0"/>
    <x v="10"/>
    <n v="139371"/>
    <x v="0"/>
    <n v="7"/>
    <x v="2"/>
  </r>
  <r>
    <s v="TXN0354"/>
    <x v="8"/>
    <x v="0"/>
    <x v="9"/>
    <n v="119324"/>
    <x v="1"/>
    <n v="1"/>
    <x v="1"/>
  </r>
  <r>
    <s v="TXN0355"/>
    <x v="7"/>
    <x v="0"/>
    <x v="2"/>
    <n v="111170"/>
    <x v="2"/>
    <n v="15"/>
    <x v="2"/>
  </r>
  <r>
    <s v="TXN0356"/>
    <x v="0"/>
    <x v="2"/>
    <x v="4"/>
    <n v="127639"/>
    <x v="2"/>
    <n v="3"/>
    <x v="0"/>
  </r>
  <r>
    <s v="TXN0357"/>
    <x v="2"/>
    <x v="1"/>
    <x v="6"/>
    <n v="126259"/>
    <x v="0"/>
    <n v="5"/>
    <x v="1"/>
  </r>
  <r>
    <s v="TXN0358"/>
    <x v="4"/>
    <x v="3"/>
    <x v="2"/>
    <n v="116051"/>
    <x v="2"/>
    <n v="5"/>
    <x v="2"/>
  </r>
  <r>
    <s v="TXN0359"/>
    <x v="7"/>
    <x v="4"/>
    <x v="2"/>
    <n v="16145"/>
    <x v="1"/>
    <n v="9"/>
    <x v="1"/>
  </r>
  <r>
    <s v="TXN0360"/>
    <x v="0"/>
    <x v="3"/>
    <x v="5"/>
    <n v="134916"/>
    <x v="0"/>
    <n v="8"/>
    <x v="1"/>
  </r>
  <r>
    <s v="TXN0361"/>
    <x v="1"/>
    <x v="1"/>
    <x v="2"/>
    <n v="62097"/>
    <x v="0"/>
    <n v="9"/>
    <x v="2"/>
  </r>
  <r>
    <s v="TXN0362"/>
    <x v="2"/>
    <x v="3"/>
    <x v="10"/>
    <n v="120352"/>
    <x v="2"/>
    <n v="15"/>
    <x v="0"/>
  </r>
  <r>
    <s v="TXN0363"/>
    <x v="4"/>
    <x v="5"/>
    <x v="9"/>
    <n v="21946"/>
    <x v="2"/>
    <n v="2"/>
    <x v="2"/>
  </r>
  <r>
    <s v="TXN0364"/>
    <x v="4"/>
    <x v="1"/>
    <x v="9"/>
    <n v="129235"/>
    <x v="0"/>
    <n v="10"/>
    <x v="0"/>
  </r>
  <r>
    <s v="TXN0365"/>
    <x v="9"/>
    <x v="3"/>
    <x v="0"/>
    <n v="35534"/>
    <x v="1"/>
    <n v="8"/>
    <x v="1"/>
  </r>
  <r>
    <s v="TXN0366"/>
    <x v="0"/>
    <x v="1"/>
    <x v="3"/>
    <n v="72024"/>
    <x v="1"/>
    <n v="2"/>
    <x v="0"/>
  </r>
  <r>
    <s v="TXN0367"/>
    <x v="5"/>
    <x v="1"/>
    <x v="4"/>
    <n v="69906"/>
    <x v="0"/>
    <n v="8"/>
    <x v="1"/>
  </r>
  <r>
    <s v="TXN0368"/>
    <x v="7"/>
    <x v="1"/>
    <x v="10"/>
    <n v="95614"/>
    <x v="2"/>
    <n v="1"/>
    <x v="0"/>
  </r>
  <r>
    <s v="TXN0369"/>
    <x v="8"/>
    <x v="5"/>
    <x v="11"/>
    <n v="123607"/>
    <x v="1"/>
    <n v="4"/>
    <x v="1"/>
  </r>
  <r>
    <s v="TXN0370"/>
    <x v="3"/>
    <x v="0"/>
    <x v="2"/>
    <n v="41524"/>
    <x v="0"/>
    <n v="8"/>
    <x v="2"/>
  </r>
  <r>
    <s v="TXN0371"/>
    <x v="2"/>
    <x v="3"/>
    <x v="10"/>
    <n v="82205"/>
    <x v="1"/>
    <n v="12"/>
    <x v="2"/>
  </r>
  <r>
    <s v="TXN0372"/>
    <x v="4"/>
    <x v="4"/>
    <x v="2"/>
    <n v="102643"/>
    <x v="1"/>
    <n v="12"/>
    <x v="1"/>
  </r>
  <r>
    <s v="TXN0373"/>
    <x v="0"/>
    <x v="2"/>
    <x v="2"/>
    <n v="49012"/>
    <x v="1"/>
    <n v="3"/>
    <x v="1"/>
  </r>
  <r>
    <s v="TXN0374"/>
    <x v="7"/>
    <x v="5"/>
    <x v="4"/>
    <n v="103440"/>
    <x v="1"/>
    <n v="5"/>
    <x v="1"/>
  </r>
  <r>
    <s v="TXN0375"/>
    <x v="1"/>
    <x v="5"/>
    <x v="11"/>
    <n v="130604"/>
    <x v="0"/>
    <n v="9"/>
    <x v="1"/>
  </r>
  <r>
    <s v="TXN0376"/>
    <x v="1"/>
    <x v="3"/>
    <x v="4"/>
    <n v="104778"/>
    <x v="0"/>
    <n v="11"/>
    <x v="1"/>
  </r>
  <r>
    <s v="TXN0377"/>
    <x v="1"/>
    <x v="1"/>
    <x v="2"/>
    <n v="42744"/>
    <x v="2"/>
    <n v="5"/>
    <x v="0"/>
  </r>
  <r>
    <s v="TXN0378"/>
    <x v="6"/>
    <x v="3"/>
    <x v="3"/>
    <n v="125774"/>
    <x v="2"/>
    <n v="11"/>
    <x v="1"/>
  </r>
  <r>
    <s v="TXN0379"/>
    <x v="1"/>
    <x v="3"/>
    <x v="10"/>
    <n v="95172"/>
    <x v="2"/>
    <n v="9"/>
    <x v="0"/>
  </r>
  <r>
    <s v="TXN0380"/>
    <x v="7"/>
    <x v="2"/>
    <x v="7"/>
    <n v="52811"/>
    <x v="2"/>
    <n v="11"/>
    <x v="1"/>
  </r>
  <r>
    <s v="TXN0381"/>
    <x v="8"/>
    <x v="4"/>
    <x v="6"/>
    <n v="124922"/>
    <x v="0"/>
    <n v="13"/>
    <x v="0"/>
  </r>
  <r>
    <s v="TXN0382"/>
    <x v="4"/>
    <x v="0"/>
    <x v="5"/>
    <n v="16816"/>
    <x v="2"/>
    <n v="2"/>
    <x v="1"/>
  </r>
  <r>
    <s v="TXN0383"/>
    <x v="0"/>
    <x v="3"/>
    <x v="11"/>
    <n v="81893"/>
    <x v="2"/>
    <n v="9"/>
    <x v="1"/>
  </r>
  <r>
    <s v="TXN0384"/>
    <x v="4"/>
    <x v="0"/>
    <x v="10"/>
    <n v="114386"/>
    <x v="2"/>
    <n v="0"/>
    <x v="1"/>
  </r>
  <r>
    <s v="TXN0385"/>
    <x v="3"/>
    <x v="5"/>
    <x v="9"/>
    <n v="46394"/>
    <x v="2"/>
    <n v="4"/>
    <x v="1"/>
  </r>
  <r>
    <s v="TXN0386"/>
    <x v="4"/>
    <x v="2"/>
    <x v="8"/>
    <n v="107534"/>
    <x v="1"/>
    <n v="3"/>
    <x v="0"/>
  </r>
  <r>
    <s v="TXN0387"/>
    <x v="1"/>
    <x v="1"/>
    <x v="1"/>
    <n v="118797"/>
    <x v="2"/>
    <n v="3"/>
    <x v="2"/>
  </r>
  <r>
    <s v="TXN0388"/>
    <x v="4"/>
    <x v="4"/>
    <x v="3"/>
    <n v="71394"/>
    <x v="2"/>
    <n v="0"/>
    <x v="1"/>
  </r>
  <r>
    <s v="TXN0389"/>
    <x v="8"/>
    <x v="4"/>
    <x v="8"/>
    <n v="122449"/>
    <x v="0"/>
    <n v="7"/>
    <x v="1"/>
  </r>
  <r>
    <s v="TXN0390"/>
    <x v="4"/>
    <x v="4"/>
    <x v="3"/>
    <n v="99754"/>
    <x v="1"/>
    <n v="1"/>
    <x v="0"/>
  </r>
  <r>
    <s v="TXN0391"/>
    <x v="0"/>
    <x v="4"/>
    <x v="4"/>
    <n v="140374"/>
    <x v="1"/>
    <n v="5"/>
    <x v="0"/>
  </r>
  <r>
    <s v="TXN0392"/>
    <x v="2"/>
    <x v="2"/>
    <x v="5"/>
    <n v="88309"/>
    <x v="1"/>
    <n v="3"/>
    <x v="1"/>
  </r>
  <r>
    <s v="TXN0393"/>
    <x v="7"/>
    <x v="1"/>
    <x v="2"/>
    <n v="138541"/>
    <x v="1"/>
    <n v="5"/>
    <x v="0"/>
  </r>
  <r>
    <s v="TXN0394"/>
    <x v="7"/>
    <x v="0"/>
    <x v="8"/>
    <n v="144606"/>
    <x v="2"/>
    <n v="0"/>
    <x v="2"/>
  </r>
  <r>
    <s v="TXN0395"/>
    <x v="0"/>
    <x v="2"/>
    <x v="6"/>
    <n v="32407"/>
    <x v="0"/>
    <n v="13"/>
    <x v="2"/>
  </r>
  <r>
    <s v="TXN0396"/>
    <x v="9"/>
    <x v="3"/>
    <x v="10"/>
    <n v="101674"/>
    <x v="2"/>
    <n v="15"/>
    <x v="1"/>
  </r>
  <r>
    <s v="TXN0397"/>
    <x v="7"/>
    <x v="2"/>
    <x v="5"/>
    <n v="82860"/>
    <x v="1"/>
    <n v="3"/>
    <x v="1"/>
  </r>
  <r>
    <s v="TXN0398"/>
    <x v="3"/>
    <x v="0"/>
    <x v="7"/>
    <n v="95811"/>
    <x v="0"/>
    <n v="1"/>
    <x v="1"/>
  </r>
  <r>
    <s v="TXN0399"/>
    <x v="4"/>
    <x v="2"/>
    <x v="5"/>
    <n v="88646"/>
    <x v="1"/>
    <n v="9"/>
    <x v="2"/>
  </r>
  <r>
    <s v="TXN0400"/>
    <x v="2"/>
    <x v="4"/>
    <x v="5"/>
    <n v="121014"/>
    <x v="2"/>
    <n v="12"/>
    <x v="2"/>
  </r>
  <r>
    <s v="TXN0401"/>
    <x v="3"/>
    <x v="1"/>
    <x v="2"/>
    <n v="140485"/>
    <x v="1"/>
    <n v="11"/>
    <x v="1"/>
  </r>
  <r>
    <s v="TXN0402"/>
    <x v="2"/>
    <x v="5"/>
    <x v="0"/>
    <n v="78080"/>
    <x v="2"/>
    <n v="10"/>
    <x v="0"/>
  </r>
  <r>
    <s v="TXN0403"/>
    <x v="6"/>
    <x v="4"/>
    <x v="11"/>
    <n v="109039"/>
    <x v="1"/>
    <n v="4"/>
    <x v="2"/>
  </r>
  <r>
    <s v="TXN0404"/>
    <x v="1"/>
    <x v="5"/>
    <x v="9"/>
    <n v="143630"/>
    <x v="2"/>
    <n v="8"/>
    <x v="0"/>
  </r>
  <r>
    <s v="TXN0405"/>
    <x v="3"/>
    <x v="4"/>
    <x v="8"/>
    <n v="127025"/>
    <x v="1"/>
    <n v="7"/>
    <x v="1"/>
  </r>
  <r>
    <s v="TXN0406"/>
    <x v="2"/>
    <x v="1"/>
    <x v="2"/>
    <n v="99618"/>
    <x v="2"/>
    <n v="11"/>
    <x v="2"/>
  </r>
  <r>
    <s v="TXN0407"/>
    <x v="7"/>
    <x v="0"/>
    <x v="0"/>
    <n v="132166"/>
    <x v="2"/>
    <n v="3"/>
    <x v="1"/>
  </r>
  <r>
    <s v="TXN0408"/>
    <x v="1"/>
    <x v="0"/>
    <x v="2"/>
    <n v="52419"/>
    <x v="0"/>
    <n v="13"/>
    <x v="2"/>
  </r>
  <r>
    <s v="TXN0409"/>
    <x v="0"/>
    <x v="2"/>
    <x v="1"/>
    <n v="89227"/>
    <x v="2"/>
    <n v="2"/>
    <x v="0"/>
  </r>
  <r>
    <s v="TXN0410"/>
    <x v="8"/>
    <x v="3"/>
    <x v="9"/>
    <n v="130424"/>
    <x v="0"/>
    <n v="9"/>
    <x v="0"/>
  </r>
  <r>
    <s v="TXN0411"/>
    <x v="8"/>
    <x v="0"/>
    <x v="1"/>
    <n v="91357"/>
    <x v="0"/>
    <n v="8"/>
    <x v="2"/>
  </r>
  <r>
    <s v="TXN0412"/>
    <x v="5"/>
    <x v="4"/>
    <x v="1"/>
    <n v="121257"/>
    <x v="1"/>
    <n v="12"/>
    <x v="2"/>
  </r>
  <r>
    <s v="TXN0413"/>
    <x v="2"/>
    <x v="0"/>
    <x v="6"/>
    <n v="120873"/>
    <x v="1"/>
    <n v="8"/>
    <x v="1"/>
  </r>
  <r>
    <s v="TXN0414"/>
    <x v="4"/>
    <x v="2"/>
    <x v="5"/>
    <n v="142235"/>
    <x v="1"/>
    <n v="13"/>
    <x v="0"/>
  </r>
  <r>
    <s v="TXN0415"/>
    <x v="3"/>
    <x v="3"/>
    <x v="11"/>
    <n v="50899"/>
    <x v="1"/>
    <n v="5"/>
    <x v="0"/>
  </r>
  <r>
    <s v="TXN0416"/>
    <x v="9"/>
    <x v="2"/>
    <x v="9"/>
    <n v="40087"/>
    <x v="2"/>
    <n v="5"/>
    <x v="2"/>
  </r>
  <r>
    <s v="TXN0417"/>
    <x v="3"/>
    <x v="5"/>
    <x v="6"/>
    <n v="16107"/>
    <x v="1"/>
    <n v="11"/>
    <x v="1"/>
  </r>
  <r>
    <s v="TXN0418"/>
    <x v="5"/>
    <x v="2"/>
    <x v="10"/>
    <n v="120226"/>
    <x v="2"/>
    <n v="14"/>
    <x v="2"/>
  </r>
  <r>
    <s v="TXN0419"/>
    <x v="6"/>
    <x v="2"/>
    <x v="3"/>
    <n v="113420"/>
    <x v="1"/>
    <n v="14"/>
    <x v="0"/>
  </r>
  <r>
    <s v="TXN0420"/>
    <x v="0"/>
    <x v="1"/>
    <x v="1"/>
    <n v="123685"/>
    <x v="1"/>
    <n v="4"/>
    <x v="1"/>
  </r>
  <r>
    <s v="TXN0421"/>
    <x v="4"/>
    <x v="2"/>
    <x v="9"/>
    <n v="95085"/>
    <x v="1"/>
    <n v="5"/>
    <x v="2"/>
  </r>
  <r>
    <s v="TXN0422"/>
    <x v="4"/>
    <x v="0"/>
    <x v="1"/>
    <n v="149022"/>
    <x v="1"/>
    <n v="8"/>
    <x v="1"/>
  </r>
  <r>
    <s v="TXN0423"/>
    <x v="7"/>
    <x v="5"/>
    <x v="5"/>
    <n v="100771"/>
    <x v="0"/>
    <n v="11"/>
    <x v="1"/>
  </r>
  <r>
    <s v="TXN0424"/>
    <x v="4"/>
    <x v="1"/>
    <x v="10"/>
    <n v="34348"/>
    <x v="0"/>
    <n v="14"/>
    <x v="0"/>
  </r>
  <r>
    <s v="TXN0425"/>
    <x v="9"/>
    <x v="3"/>
    <x v="1"/>
    <n v="79494"/>
    <x v="2"/>
    <n v="10"/>
    <x v="1"/>
  </r>
  <r>
    <s v="TXN0426"/>
    <x v="8"/>
    <x v="5"/>
    <x v="2"/>
    <n v="139491"/>
    <x v="0"/>
    <n v="10"/>
    <x v="0"/>
  </r>
  <r>
    <s v="TXN0427"/>
    <x v="3"/>
    <x v="0"/>
    <x v="1"/>
    <n v="149700"/>
    <x v="2"/>
    <n v="2"/>
    <x v="1"/>
  </r>
  <r>
    <s v="TXN0428"/>
    <x v="5"/>
    <x v="0"/>
    <x v="8"/>
    <n v="135624"/>
    <x v="1"/>
    <n v="13"/>
    <x v="2"/>
  </r>
  <r>
    <s v="TXN0429"/>
    <x v="2"/>
    <x v="3"/>
    <x v="8"/>
    <n v="107090"/>
    <x v="0"/>
    <n v="10"/>
    <x v="0"/>
  </r>
  <r>
    <s v="TXN0430"/>
    <x v="6"/>
    <x v="3"/>
    <x v="10"/>
    <n v="40182"/>
    <x v="0"/>
    <n v="9"/>
    <x v="0"/>
  </r>
  <r>
    <s v="TXN0431"/>
    <x v="1"/>
    <x v="0"/>
    <x v="6"/>
    <n v="63540"/>
    <x v="2"/>
    <n v="11"/>
    <x v="2"/>
  </r>
  <r>
    <s v="TXN0432"/>
    <x v="6"/>
    <x v="4"/>
    <x v="2"/>
    <n v="129157"/>
    <x v="0"/>
    <n v="9"/>
    <x v="1"/>
  </r>
  <r>
    <s v="TXN0433"/>
    <x v="9"/>
    <x v="4"/>
    <x v="8"/>
    <n v="78875"/>
    <x v="1"/>
    <n v="9"/>
    <x v="2"/>
  </r>
  <r>
    <s v="TXN0434"/>
    <x v="3"/>
    <x v="3"/>
    <x v="9"/>
    <n v="54913"/>
    <x v="2"/>
    <n v="8"/>
    <x v="1"/>
  </r>
  <r>
    <s v="TXN0435"/>
    <x v="9"/>
    <x v="3"/>
    <x v="10"/>
    <n v="29433"/>
    <x v="0"/>
    <n v="5"/>
    <x v="1"/>
  </r>
  <r>
    <s v="TXN0436"/>
    <x v="3"/>
    <x v="1"/>
    <x v="11"/>
    <n v="95504"/>
    <x v="0"/>
    <n v="9"/>
    <x v="1"/>
  </r>
  <r>
    <s v="TXN0437"/>
    <x v="2"/>
    <x v="3"/>
    <x v="5"/>
    <n v="97926"/>
    <x v="2"/>
    <n v="9"/>
    <x v="2"/>
  </r>
  <r>
    <s v="TXN0438"/>
    <x v="8"/>
    <x v="4"/>
    <x v="6"/>
    <n v="78654"/>
    <x v="0"/>
    <n v="9"/>
    <x v="0"/>
  </r>
  <r>
    <s v="TXN0439"/>
    <x v="7"/>
    <x v="0"/>
    <x v="0"/>
    <n v="16074"/>
    <x v="0"/>
    <n v="5"/>
    <x v="0"/>
  </r>
  <r>
    <s v="TXN0440"/>
    <x v="0"/>
    <x v="0"/>
    <x v="11"/>
    <n v="85248"/>
    <x v="2"/>
    <n v="12"/>
    <x v="0"/>
  </r>
  <r>
    <s v="TXN0441"/>
    <x v="7"/>
    <x v="3"/>
    <x v="9"/>
    <n v="30084"/>
    <x v="1"/>
    <n v="7"/>
    <x v="0"/>
  </r>
  <r>
    <s v="TXN0442"/>
    <x v="0"/>
    <x v="1"/>
    <x v="6"/>
    <n v="127171"/>
    <x v="1"/>
    <n v="5"/>
    <x v="1"/>
  </r>
  <r>
    <s v="TXN0443"/>
    <x v="5"/>
    <x v="2"/>
    <x v="10"/>
    <n v="61430"/>
    <x v="2"/>
    <n v="0"/>
    <x v="0"/>
  </r>
  <r>
    <s v="TXN0444"/>
    <x v="6"/>
    <x v="5"/>
    <x v="7"/>
    <n v="120313"/>
    <x v="0"/>
    <n v="12"/>
    <x v="0"/>
  </r>
  <r>
    <s v="TXN0445"/>
    <x v="0"/>
    <x v="4"/>
    <x v="3"/>
    <n v="28488"/>
    <x v="2"/>
    <n v="13"/>
    <x v="1"/>
  </r>
  <r>
    <s v="TXN0446"/>
    <x v="0"/>
    <x v="2"/>
    <x v="1"/>
    <n v="43101"/>
    <x v="0"/>
    <n v="9"/>
    <x v="2"/>
  </r>
  <r>
    <s v="TXN0447"/>
    <x v="0"/>
    <x v="5"/>
    <x v="7"/>
    <n v="123111"/>
    <x v="0"/>
    <n v="3"/>
    <x v="0"/>
  </r>
  <r>
    <s v="TXN0448"/>
    <x v="3"/>
    <x v="5"/>
    <x v="8"/>
    <n v="13811"/>
    <x v="1"/>
    <n v="9"/>
    <x v="1"/>
  </r>
  <r>
    <s v="TXN0449"/>
    <x v="7"/>
    <x v="4"/>
    <x v="5"/>
    <n v="90124"/>
    <x v="0"/>
    <n v="9"/>
    <x v="0"/>
  </r>
  <r>
    <s v="TXN0450"/>
    <x v="8"/>
    <x v="5"/>
    <x v="1"/>
    <n v="115742"/>
    <x v="0"/>
    <n v="11"/>
    <x v="2"/>
  </r>
  <r>
    <s v="TXN0451"/>
    <x v="9"/>
    <x v="4"/>
    <x v="2"/>
    <n v="49910"/>
    <x v="2"/>
    <n v="10"/>
    <x v="0"/>
  </r>
  <r>
    <s v="TXN0452"/>
    <x v="5"/>
    <x v="0"/>
    <x v="6"/>
    <n v="129506"/>
    <x v="1"/>
    <n v="8"/>
    <x v="1"/>
  </r>
  <r>
    <s v="TXN0453"/>
    <x v="8"/>
    <x v="0"/>
    <x v="10"/>
    <n v="79241"/>
    <x v="2"/>
    <n v="12"/>
    <x v="0"/>
  </r>
  <r>
    <s v="TXN0454"/>
    <x v="1"/>
    <x v="5"/>
    <x v="8"/>
    <n v="127564"/>
    <x v="2"/>
    <n v="10"/>
    <x v="0"/>
  </r>
  <r>
    <s v="TXN0455"/>
    <x v="4"/>
    <x v="3"/>
    <x v="3"/>
    <n v="91919"/>
    <x v="1"/>
    <n v="11"/>
    <x v="2"/>
  </r>
  <r>
    <s v="TXN0456"/>
    <x v="7"/>
    <x v="2"/>
    <x v="5"/>
    <n v="59155"/>
    <x v="0"/>
    <n v="5"/>
    <x v="1"/>
  </r>
  <r>
    <s v="TXN0457"/>
    <x v="2"/>
    <x v="3"/>
    <x v="1"/>
    <n v="139539"/>
    <x v="0"/>
    <n v="10"/>
    <x v="0"/>
  </r>
  <r>
    <s v="TXN0458"/>
    <x v="9"/>
    <x v="0"/>
    <x v="7"/>
    <n v="89488"/>
    <x v="2"/>
    <n v="1"/>
    <x v="2"/>
  </r>
  <r>
    <s v="TXN0459"/>
    <x v="5"/>
    <x v="2"/>
    <x v="7"/>
    <n v="133229"/>
    <x v="1"/>
    <n v="12"/>
    <x v="2"/>
  </r>
  <r>
    <s v="TXN0460"/>
    <x v="1"/>
    <x v="3"/>
    <x v="10"/>
    <n v="23451"/>
    <x v="0"/>
    <n v="1"/>
    <x v="1"/>
  </r>
  <r>
    <s v="TXN0461"/>
    <x v="6"/>
    <x v="5"/>
    <x v="5"/>
    <n v="36955"/>
    <x v="1"/>
    <n v="2"/>
    <x v="1"/>
  </r>
  <r>
    <s v="TXN0462"/>
    <x v="5"/>
    <x v="5"/>
    <x v="3"/>
    <n v="34222"/>
    <x v="1"/>
    <n v="9"/>
    <x v="2"/>
  </r>
  <r>
    <s v="TXN0463"/>
    <x v="0"/>
    <x v="3"/>
    <x v="6"/>
    <n v="88715"/>
    <x v="0"/>
    <n v="11"/>
    <x v="1"/>
  </r>
  <r>
    <s v="TXN0464"/>
    <x v="3"/>
    <x v="3"/>
    <x v="10"/>
    <n v="32666"/>
    <x v="0"/>
    <n v="14"/>
    <x v="1"/>
  </r>
  <r>
    <s v="TXN0465"/>
    <x v="9"/>
    <x v="0"/>
    <x v="4"/>
    <n v="130759"/>
    <x v="2"/>
    <n v="6"/>
    <x v="2"/>
  </r>
  <r>
    <s v="TXN0466"/>
    <x v="1"/>
    <x v="4"/>
    <x v="9"/>
    <n v="35172"/>
    <x v="1"/>
    <n v="14"/>
    <x v="2"/>
  </r>
  <r>
    <s v="TXN0467"/>
    <x v="3"/>
    <x v="3"/>
    <x v="0"/>
    <n v="35378"/>
    <x v="2"/>
    <n v="13"/>
    <x v="0"/>
  </r>
  <r>
    <s v="TXN0468"/>
    <x v="9"/>
    <x v="0"/>
    <x v="8"/>
    <n v="26369"/>
    <x v="1"/>
    <n v="3"/>
    <x v="1"/>
  </r>
  <r>
    <s v="TXN0469"/>
    <x v="1"/>
    <x v="5"/>
    <x v="8"/>
    <n v="59738"/>
    <x v="1"/>
    <n v="14"/>
    <x v="1"/>
  </r>
  <r>
    <s v="TXN0470"/>
    <x v="4"/>
    <x v="0"/>
    <x v="11"/>
    <n v="16091"/>
    <x v="1"/>
    <n v="10"/>
    <x v="0"/>
  </r>
  <r>
    <s v="TXN0471"/>
    <x v="5"/>
    <x v="1"/>
    <x v="6"/>
    <n v="23450"/>
    <x v="1"/>
    <n v="13"/>
    <x v="2"/>
  </r>
  <r>
    <s v="TXN0472"/>
    <x v="8"/>
    <x v="4"/>
    <x v="11"/>
    <n v="143893"/>
    <x v="1"/>
    <n v="7"/>
    <x v="2"/>
  </r>
  <r>
    <s v="TXN0473"/>
    <x v="6"/>
    <x v="1"/>
    <x v="11"/>
    <n v="107735"/>
    <x v="0"/>
    <n v="6"/>
    <x v="1"/>
  </r>
  <r>
    <s v="TXN0474"/>
    <x v="6"/>
    <x v="1"/>
    <x v="6"/>
    <n v="115818"/>
    <x v="1"/>
    <n v="1"/>
    <x v="0"/>
  </r>
  <r>
    <s v="TXN0475"/>
    <x v="7"/>
    <x v="5"/>
    <x v="4"/>
    <n v="31748"/>
    <x v="2"/>
    <n v="8"/>
    <x v="2"/>
  </r>
  <r>
    <s v="TXN0476"/>
    <x v="2"/>
    <x v="1"/>
    <x v="3"/>
    <n v="61475"/>
    <x v="1"/>
    <n v="3"/>
    <x v="0"/>
  </r>
  <r>
    <s v="TXN0477"/>
    <x v="8"/>
    <x v="1"/>
    <x v="0"/>
    <n v="61290"/>
    <x v="1"/>
    <n v="11"/>
    <x v="2"/>
  </r>
  <r>
    <s v="TXN0478"/>
    <x v="8"/>
    <x v="4"/>
    <x v="8"/>
    <n v="78938"/>
    <x v="2"/>
    <n v="5"/>
    <x v="2"/>
  </r>
  <r>
    <s v="TXN0479"/>
    <x v="3"/>
    <x v="2"/>
    <x v="7"/>
    <n v="128573"/>
    <x v="0"/>
    <n v="10"/>
    <x v="2"/>
  </r>
  <r>
    <s v="TXN0480"/>
    <x v="2"/>
    <x v="2"/>
    <x v="6"/>
    <n v="59182"/>
    <x v="1"/>
    <n v="14"/>
    <x v="2"/>
  </r>
  <r>
    <s v="TXN0481"/>
    <x v="7"/>
    <x v="0"/>
    <x v="2"/>
    <n v="67017"/>
    <x v="1"/>
    <n v="5"/>
    <x v="0"/>
  </r>
  <r>
    <s v="TXN0482"/>
    <x v="7"/>
    <x v="3"/>
    <x v="9"/>
    <n v="51719"/>
    <x v="2"/>
    <n v="11"/>
    <x v="1"/>
  </r>
  <r>
    <s v="TXN0483"/>
    <x v="6"/>
    <x v="5"/>
    <x v="3"/>
    <n v="31397"/>
    <x v="0"/>
    <n v="13"/>
    <x v="1"/>
  </r>
  <r>
    <s v="TXN0484"/>
    <x v="3"/>
    <x v="4"/>
    <x v="0"/>
    <n v="142473"/>
    <x v="0"/>
    <n v="9"/>
    <x v="1"/>
  </r>
  <r>
    <s v="TXN0485"/>
    <x v="7"/>
    <x v="5"/>
    <x v="7"/>
    <n v="140096"/>
    <x v="0"/>
    <n v="1"/>
    <x v="0"/>
  </r>
  <r>
    <s v="TXN0486"/>
    <x v="2"/>
    <x v="0"/>
    <x v="5"/>
    <n v="114630"/>
    <x v="1"/>
    <n v="3"/>
    <x v="1"/>
  </r>
  <r>
    <s v="TXN0487"/>
    <x v="8"/>
    <x v="0"/>
    <x v="11"/>
    <n v="52097"/>
    <x v="2"/>
    <n v="7"/>
    <x v="1"/>
  </r>
  <r>
    <s v="TXN0488"/>
    <x v="8"/>
    <x v="0"/>
    <x v="9"/>
    <n v="10512"/>
    <x v="2"/>
    <n v="5"/>
    <x v="1"/>
  </r>
  <r>
    <s v="TXN0489"/>
    <x v="2"/>
    <x v="3"/>
    <x v="6"/>
    <n v="17361"/>
    <x v="0"/>
    <n v="3"/>
    <x v="1"/>
  </r>
  <r>
    <s v="TXN0490"/>
    <x v="4"/>
    <x v="2"/>
    <x v="3"/>
    <n v="97546"/>
    <x v="2"/>
    <n v="7"/>
    <x v="0"/>
  </r>
  <r>
    <s v="TXN0491"/>
    <x v="1"/>
    <x v="4"/>
    <x v="10"/>
    <n v="37495"/>
    <x v="0"/>
    <n v="7"/>
    <x v="2"/>
  </r>
  <r>
    <s v="TXN0492"/>
    <x v="0"/>
    <x v="2"/>
    <x v="10"/>
    <n v="100969"/>
    <x v="1"/>
    <n v="13"/>
    <x v="0"/>
  </r>
  <r>
    <s v="TXN0493"/>
    <x v="6"/>
    <x v="2"/>
    <x v="8"/>
    <n v="42846"/>
    <x v="1"/>
    <n v="2"/>
    <x v="2"/>
  </r>
  <r>
    <s v="TXN0494"/>
    <x v="7"/>
    <x v="5"/>
    <x v="5"/>
    <n v="103784"/>
    <x v="2"/>
    <n v="13"/>
    <x v="1"/>
  </r>
  <r>
    <s v="TXN0495"/>
    <x v="7"/>
    <x v="4"/>
    <x v="9"/>
    <n v="78259"/>
    <x v="0"/>
    <n v="7"/>
    <x v="1"/>
  </r>
  <r>
    <s v="TXN0496"/>
    <x v="6"/>
    <x v="5"/>
    <x v="10"/>
    <n v="31416"/>
    <x v="2"/>
    <n v="9"/>
    <x v="1"/>
  </r>
  <r>
    <s v="TXN0497"/>
    <x v="2"/>
    <x v="0"/>
    <x v="8"/>
    <n v="81881"/>
    <x v="2"/>
    <n v="9"/>
    <x v="0"/>
  </r>
  <r>
    <s v="TXN0498"/>
    <x v="0"/>
    <x v="4"/>
    <x v="1"/>
    <n v="34420"/>
    <x v="1"/>
    <n v="0"/>
    <x v="1"/>
  </r>
  <r>
    <s v="TXN0499"/>
    <x v="4"/>
    <x v="1"/>
    <x v="4"/>
    <n v="86677"/>
    <x v="2"/>
    <n v="11"/>
    <x v="0"/>
  </r>
  <r>
    <s v="TXN0500"/>
    <x v="5"/>
    <x v="4"/>
    <x v="4"/>
    <n v="92424"/>
    <x v="0"/>
    <n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6D8446-DC33-45DB-878F-202B06400C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8">
    <pivotField showAll="0"/>
    <pivotField showAll="0">
      <items count="11">
        <item x="8"/>
        <item x="4"/>
        <item x="5"/>
        <item x="2"/>
        <item x="0"/>
        <item x="9"/>
        <item x="3"/>
        <item x="7"/>
        <item x="1"/>
        <item x="6"/>
        <item t="default"/>
      </items>
    </pivotField>
    <pivotField showAll="0"/>
    <pivotField axis="axisRow" showAll="0">
      <items count="13">
        <item x="11"/>
        <item x="6"/>
        <item x="9"/>
        <item x="0"/>
        <item x="2"/>
        <item x="10"/>
        <item x="5"/>
        <item x="4"/>
        <item x="1"/>
        <item x="3"/>
        <item x="7"/>
        <item x="8"/>
        <item t="default"/>
      </items>
    </pivotField>
    <pivotField dataField="1"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pend_Amount" fld="4"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418CBF-9A99-4B5A-9285-E2F77100A61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8">
    <pivotField showAll="0"/>
    <pivotField axis="axisRow" showAll="0" sortType="descending">
      <items count="11">
        <item x="8"/>
        <item x="4"/>
        <item x="5"/>
        <item x="2"/>
        <item x="0"/>
        <item x="9"/>
        <item x="3"/>
        <item x="7"/>
        <item x="1"/>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1"/>
  </rowFields>
  <rowItems count="11">
    <i>
      <x/>
    </i>
    <i>
      <x v="4"/>
    </i>
    <i>
      <x v="1"/>
    </i>
    <i>
      <x v="6"/>
    </i>
    <i>
      <x v="3"/>
    </i>
    <i>
      <x v="2"/>
    </i>
    <i>
      <x v="7"/>
    </i>
    <i>
      <x v="9"/>
    </i>
    <i>
      <x v="8"/>
    </i>
    <i>
      <x v="5"/>
    </i>
    <i t="grand">
      <x/>
    </i>
  </rowItems>
  <colItems count="1">
    <i/>
  </colItems>
  <dataFields count="1">
    <dataField name="Sum of Spend_Amount" fld="4"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EDE6C5-602F-48CE-96BA-2BD12CF2624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8">
    <pivotField showAll="0"/>
    <pivotField showAll="0">
      <items count="11">
        <item x="8"/>
        <item x="4"/>
        <item x="5"/>
        <item x="2"/>
        <item x="0"/>
        <item x="9"/>
        <item x="3"/>
        <item x="7"/>
        <item x="1"/>
        <item x="6"/>
        <item t="default"/>
      </items>
    </pivotField>
    <pivotField axis="axisRow" showAll="0">
      <items count="7">
        <item x="3"/>
        <item x="0"/>
        <item x="2"/>
        <item x="5"/>
        <item x="1"/>
        <item x="4"/>
        <item t="default"/>
      </items>
    </pivotField>
    <pivotField showAll="0"/>
    <pivotField dataField="1" showAll="0"/>
    <pivotField showAll="0"/>
    <pivotField showAll="0"/>
    <pivotField showAll="0"/>
  </pivotFields>
  <rowFields count="1">
    <field x="2"/>
  </rowFields>
  <rowItems count="7">
    <i>
      <x/>
    </i>
    <i>
      <x v="1"/>
    </i>
    <i>
      <x v="2"/>
    </i>
    <i>
      <x v="3"/>
    </i>
    <i>
      <x v="4"/>
    </i>
    <i>
      <x v="5"/>
    </i>
    <i t="grand">
      <x/>
    </i>
  </rowItems>
  <colItems count="1">
    <i/>
  </colItems>
  <dataFields count="1">
    <dataField name="Sum of Spend_Amount" fld="4"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6697A4-0A8C-4A68-B6C4-56288FCBF7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E17" firstHeaderRow="1" firstDataRow="2" firstDataCol="1"/>
  <pivotFields count="8">
    <pivotField dataField="1" showAll="0"/>
    <pivotField showAll="0">
      <items count="11">
        <item x="8"/>
        <item x="4"/>
        <item x="5"/>
        <item x="2"/>
        <item x="0"/>
        <item x="9"/>
        <item x="3"/>
        <item x="7"/>
        <item x="1"/>
        <item x="6"/>
        <item t="default"/>
      </items>
    </pivotField>
    <pivotField showAll="0"/>
    <pivotField axis="axisRow" showAll="0">
      <items count="13">
        <item x="11"/>
        <item x="6"/>
        <item x="9"/>
        <item x="0"/>
        <item x="2"/>
        <item x="10"/>
        <item x="5"/>
        <item x="4"/>
        <item x="1"/>
        <item x="3"/>
        <item x="7"/>
        <item x="8"/>
        <item t="default"/>
      </items>
    </pivotField>
    <pivotField showAll="0"/>
    <pivotField axis="axisCol" showAll="0">
      <items count="4">
        <item x="0"/>
        <item x="1"/>
        <item x="2"/>
        <item t="default"/>
      </items>
    </pivotField>
    <pivotField showAll="0"/>
    <pivotField showAll="0"/>
  </pivotFields>
  <rowFields count="1">
    <field x="3"/>
  </rowFields>
  <rowItems count="13">
    <i>
      <x/>
    </i>
    <i>
      <x v="1"/>
    </i>
    <i>
      <x v="2"/>
    </i>
    <i>
      <x v="3"/>
    </i>
    <i>
      <x v="4"/>
    </i>
    <i>
      <x v="5"/>
    </i>
    <i>
      <x v="6"/>
    </i>
    <i>
      <x v="7"/>
    </i>
    <i>
      <x v="8"/>
    </i>
    <i>
      <x v="9"/>
    </i>
    <i>
      <x v="10"/>
    </i>
    <i>
      <x v="11"/>
    </i>
    <i t="grand">
      <x/>
    </i>
  </rowItems>
  <colFields count="1">
    <field x="5"/>
  </colFields>
  <colItems count="4">
    <i>
      <x/>
    </i>
    <i>
      <x v="1"/>
    </i>
    <i>
      <x v="2"/>
    </i>
    <i t="grand">
      <x/>
    </i>
  </colItems>
  <dataFields count="1">
    <dataField name="Count of Transaction_ID" fld="0" subtotal="count" baseField="0" baseItem="0"/>
  </dataFields>
  <chartFormats count="6">
    <chartFormat chart="11" format="0" series="1">
      <pivotArea type="data" outline="0" fieldPosition="0">
        <references count="2">
          <reference field="4294967294" count="1" selected="0">
            <x v="0"/>
          </reference>
          <reference field="5" count="1" selected="0">
            <x v="0"/>
          </reference>
        </references>
      </pivotArea>
    </chartFormat>
    <chartFormat chart="11" format="1" series="1">
      <pivotArea type="data" outline="0" fieldPosition="0">
        <references count="2">
          <reference field="4294967294" count="1" selected="0">
            <x v="0"/>
          </reference>
          <reference field="5" count="1" selected="0">
            <x v="1"/>
          </reference>
        </references>
      </pivotArea>
    </chartFormat>
    <chartFormat chart="11" format="2" series="1">
      <pivotArea type="data" outline="0" fieldPosition="0">
        <references count="2">
          <reference field="4294967294" count="1" selected="0">
            <x v="0"/>
          </reference>
          <reference field="5" count="1" selected="0">
            <x v="2"/>
          </reference>
        </references>
      </pivotArea>
    </chartFormat>
    <chartFormat chart="14" format="6" series="1">
      <pivotArea type="data" outline="0" fieldPosition="0">
        <references count="2">
          <reference field="4294967294" count="1" selected="0">
            <x v="0"/>
          </reference>
          <reference field="5" count="1" selected="0">
            <x v="0"/>
          </reference>
        </references>
      </pivotArea>
    </chartFormat>
    <chartFormat chart="14" format="7" series="1">
      <pivotArea type="data" outline="0" fieldPosition="0">
        <references count="2">
          <reference field="4294967294" count="1" selected="0">
            <x v="0"/>
          </reference>
          <reference field="5" count="1" selected="0">
            <x v="1"/>
          </reference>
        </references>
      </pivotArea>
    </chartFormat>
    <chartFormat chart="1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639599-5022-4CE9-A15E-6474CDFEC48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4" firstHeaderRow="1" firstDataRow="1" firstDataCol="1"/>
  <pivotFields count="8">
    <pivotField showAll="0"/>
    <pivotField axis="axisRow" showAll="0">
      <items count="11">
        <item x="8"/>
        <item x="4"/>
        <item x="5"/>
        <item x="2"/>
        <item x="0"/>
        <item x="9"/>
        <item x="3"/>
        <item x="7"/>
        <item x="1"/>
        <item x="6"/>
        <item t="default"/>
      </items>
    </pivotField>
    <pivotField showAll="0">
      <items count="7">
        <item x="3"/>
        <item x="0"/>
        <item x="2"/>
        <item x="5"/>
        <item x="1"/>
        <item x="4"/>
        <item t="default"/>
      </items>
    </pivotField>
    <pivotField showAll="0">
      <items count="13">
        <item x="11"/>
        <item x="6"/>
        <item x="9"/>
        <item x="0"/>
        <item x="2"/>
        <item x="10"/>
        <item x="5"/>
        <item x="4"/>
        <item x="1"/>
        <item x="3"/>
        <item x="7"/>
        <item x="8"/>
        <item t="default"/>
      </items>
    </pivotField>
    <pivotField showAll="0"/>
    <pivotField showAll="0"/>
    <pivotField dataField="1" showAll="0"/>
    <pivotField showAll="0">
      <items count="4">
        <item x="0"/>
        <item x="1"/>
        <item x="2"/>
        <item t="default"/>
      </items>
    </pivotField>
  </pivotFields>
  <rowFields count="1">
    <field x="1"/>
  </rowFields>
  <rowItems count="11">
    <i>
      <x/>
    </i>
    <i>
      <x v="1"/>
    </i>
    <i>
      <x v="2"/>
    </i>
    <i>
      <x v="3"/>
    </i>
    <i>
      <x v="4"/>
    </i>
    <i>
      <x v="5"/>
    </i>
    <i>
      <x v="6"/>
    </i>
    <i>
      <x v="7"/>
    </i>
    <i>
      <x v="8"/>
    </i>
    <i>
      <x v="9"/>
    </i>
    <i t="grand">
      <x/>
    </i>
  </rowItems>
  <colItems count="1">
    <i/>
  </colItems>
  <dataFields count="1">
    <dataField name="Average of Delivery_Delay_Days" fld="6" subtotal="average" baseField="1"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451139-A96D-4630-9584-57BCA991CBE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4" firstHeaderRow="1" firstDataRow="1" firstDataCol="1"/>
  <pivotFields count="8">
    <pivotField showAll="0"/>
    <pivotField axis="axisRow" showAll="0">
      <items count="11">
        <item x="8"/>
        <item x="4"/>
        <item x="5"/>
        <item x="2"/>
        <item x="0"/>
        <item x="9"/>
        <item x="3"/>
        <item x="7"/>
        <item x="1"/>
        <item x="6"/>
        <item t="default"/>
      </items>
    </pivotField>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F4CD14B9-D2BE-4D77-B6E5-0D9E84EC97E8}" sourceName="Supplier_Name">
  <pivotTables>
    <pivotTable tabId="12" name="PivotTable9"/>
    <pivotTable tabId="10" name="PivotTable7"/>
    <pivotTable tabId="8" name="PivotTable5"/>
    <pivotTable tabId="11" name="PivotTable8"/>
    <pivotTable tabId="9" name="PivotTable6"/>
  </pivotTables>
  <data>
    <tabular pivotCacheId="178623469">
      <items count="10">
        <i x="8" s="1"/>
        <i x="4" s="1"/>
        <i x="5" s="1"/>
        <i x="2" s="1"/>
        <i x="0" s="1"/>
        <i x="9" s="1"/>
        <i x="3" s="1"/>
        <i x="7"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9AD925-7A32-42D7-8D43-D27D645EFEFE}" sourceName="Category">
  <pivotTables>
    <pivotTable tabId="12" name="PivotTable9"/>
  </pivotTables>
  <data>
    <tabular pivotCacheId="178623469">
      <items count="6">
        <i x="3" s="1"/>
        <i x="0" s="1"/>
        <i x="2" s="1"/>
        <i x="5"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 xr10:uid="{7EFC6997-8F5D-49CC-8961-8696757B910C}" sourceName="               ">
  <pivotTables>
    <pivotTable tabId="12" name="PivotTable9"/>
  </pivotTables>
  <data>
    <tabular pivotCacheId="178623469">
      <items count="12">
        <i x="11" s="1"/>
        <i x="6" s="1"/>
        <i x="9" s="1"/>
        <i x="0" s="1"/>
        <i x="2" s="1"/>
        <i x="10" s="1"/>
        <i x="5" s="1"/>
        <i x="4" s="1"/>
        <i x="1" s="1"/>
        <i x="3" s="1"/>
        <i x="7"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_Status" xr10:uid="{261B7F46-0CF9-47E2-9E05-9AE6A08D28A7}" sourceName="Contract_Status">
  <pivotTables>
    <pivotTable tabId="12" name="PivotTable9"/>
  </pivotTables>
  <data>
    <tabular pivotCacheId="17862346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Name" xr10:uid="{D72186A4-61BD-4058-900D-9D68F5C31021}" cache="Slicer_Supplier_Name" caption="Supplier_Name" rowHeight="234950"/>
  <slicer name="Category" xr10:uid="{0806069D-49AC-4CE6-BD9F-559F384CA178}" cache="Slicer_Category" caption="Category" rowHeight="234950"/>
  <slicer name="               " xr10:uid="{8A743796-131E-4B06-96D7-842F422D6102}" cache="Slicer_" caption="               " startItem="5" rowHeight="234950"/>
  <slicer name="Contract_Status" xr10:uid="{69015CBC-DAD3-4F58-8E41-CAC6C086BC39}" cache="Slicer_Contract_Status" caption="Contract_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Name 1" xr10:uid="{93269AA6-5999-455D-B1CC-2CC92A8CE472}" cache="Slicer_Supplier_Name" caption="Supplier_Name" rowHeight="234950"/>
  <slicer name="Category 1" xr10:uid="{1228B1F1-813B-4D7F-B810-8A81564E6904}" cache="Slicer_Category" caption="Category" rowHeight="234950"/>
  <slicer name="Month                1" xr10:uid="{0AC7625D-C060-4B1D-84BD-0448FE0D4F2D}" cache="Slicer_" caption="Month" rowHeight="234950"/>
  <slicer name="Contract_Status 1" xr10:uid="{0C610DE0-D97C-4755-9B5C-9F962123B27E}" cache="Slicer_Contract_Status" caption="Contract_Status"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BD30E5-E57E-466E-AC62-2AC8D9167288}" name="tbl_procurement" displayName="tbl_procurement" ref="A1:H501" totalsRowShown="0" headerRowDxfId="2" headerRowBorderDxfId="1" tableBorderDxfId="0">
  <autoFilter ref="A1:H501" xr:uid="{00000000-0001-0000-0000-000000000000}"/>
  <tableColumns count="8">
    <tableColumn id="1" xr3:uid="{2382911A-F364-453B-923E-86F8E1F2BBF4}" name="Transaction_ID"/>
    <tableColumn id="2" xr3:uid="{448F9893-81DE-4B90-890C-ECBEB60731C6}" name="Supplier_Name"/>
    <tableColumn id="3" xr3:uid="{07BF7EE1-A1B7-4B14-9FD7-F200F81080DB}" name="Category"/>
    <tableColumn id="4" xr3:uid="{7A973AB4-AF55-4E8C-9843-2AF8A603C5A8}" name="Month"/>
    <tableColumn id="5" xr3:uid="{1A4DAE9C-D6D6-464D-AE3D-D627699F63D8}" name="Spend_Amount"/>
    <tableColumn id="6" xr3:uid="{CE7C82BE-3125-4118-9A34-864D540CD7A5}" name="Payment_Status"/>
    <tableColumn id="7" xr3:uid="{2AB7A370-E714-4D40-AA27-3EA1B5BC6A0D}" name="Delivery_Delay_Days"/>
    <tableColumn id="8" xr3:uid="{6B4B520B-36F6-4F9A-87F4-B8C48DAA27F1}" name="Contract_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03C14-F581-4983-9582-2E9D583151A9}">
  <dimension ref="A3:B16"/>
  <sheetViews>
    <sheetView workbookViewId="0">
      <selection activeCell="L23" sqref="L23"/>
    </sheetView>
  </sheetViews>
  <sheetFormatPr defaultRowHeight="14.4" x14ac:dyDescent="0.3"/>
  <cols>
    <col min="1" max="1" width="12.5546875" bestFit="1" customWidth="1"/>
    <col min="2" max="2" width="20.88671875" bestFit="1" customWidth="1"/>
  </cols>
  <sheetData>
    <row r="3" spans="1:2" x14ac:dyDescent="0.3">
      <c r="A3" s="4" t="s">
        <v>542</v>
      </c>
      <c r="B3" t="s">
        <v>545</v>
      </c>
    </row>
    <row r="4" spans="1:2" x14ac:dyDescent="0.3">
      <c r="A4" s="5" t="s">
        <v>85</v>
      </c>
      <c r="B4">
        <v>3900158</v>
      </c>
    </row>
    <row r="5" spans="1:2" x14ac:dyDescent="0.3">
      <c r="A5" s="5" t="s">
        <v>43</v>
      </c>
      <c r="B5">
        <v>3941084</v>
      </c>
    </row>
    <row r="6" spans="1:2" x14ac:dyDescent="0.3">
      <c r="A6" s="5" t="s">
        <v>53</v>
      </c>
      <c r="B6">
        <v>2862565</v>
      </c>
    </row>
    <row r="7" spans="1:2" x14ac:dyDescent="0.3">
      <c r="A7" s="5" t="s">
        <v>11</v>
      </c>
      <c r="B7">
        <v>2228122</v>
      </c>
    </row>
    <row r="8" spans="1:2" x14ac:dyDescent="0.3">
      <c r="A8" s="5" t="s">
        <v>23</v>
      </c>
      <c r="B8">
        <v>3503650</v>
      </c>
    </row>
    <row r="9" spans="1:2" x14ac:dyDescent="0.3">
      <c r="A9" s="5" t="s">
        <v>61</v>
      </c>
      <c r="B9">
        <v>3523180</v>
      </c>
    </row>
    <row r="10" spans="1:2" x14ac:dyDescent="0.3">
      <c r="A10" s="5" t="s">
        <v>39</v>
      </c>
      <c r="B10">
        <v>3165451</v>
      </c>
    </row>
    <row r="11" spans="1:2" x14ac:dyDescent="0.3">
      <c r="A11" s="5" t="s">
        <v>30</v>
      </c>
      <c r="B11">
        <v>3679836</v>
      </c>
    </row>
    <row r="12" spans="1:2" x14ac:dyDescent="0.3">
      <c r="A12" s="5" t="s">
        <v>17</v>
      </c>
      <c r="B12">
        <v>2897279</v>
      </c>
    </row>
    <row r="13" spans="1:2" x14ac:dyDescent="0.3">
      <c r="A13" s="5" t="s">
        <v>27</v>
      </c>
      <c r="B13">
        <v>2581917</v>
      </c>
    </row>
    <row r="14" spans="1:2" x14ac:dyDescent="0.3">
      <c r="A14" s="5" t="s">
        <v>45</v>
      </c>
      <c r="B14">
        <v>3190752</v>
      </c>
    </row>
    <row r="15" spans="1:2" x14ac:dyDescent="0.3">
      <c r="A15" s="5" t="s">
        <v>48</v>
      </c>
      <c r="B15">
        <v>3195311</v>
      </c>
    </row>
    <row r="16" spans="1:2" x14ac:dyDescent="0.3">
      <c r="A16" s="5" t="s">
        <v>543</v>
      </c>
      <c r="B16">
        <v>38669305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43B4-3448-4C2B-8C39-EF1D18CE6FBC}">
  <dimension ref="A3:B14"/>
  <sheetViews>
    <sheetView workbookViewId="0">
      <selection activeCell="O24" sqref="O24"/>
    </sheetView>
  </sheetViews>
  <sheetFormatPr defaultRowHeight="14.4" x14ac:dyDescent="0.3"/>
  <cols>
    <col min="1" max="1" width="14.33203125" bestFit="1" customWidth="1"/>
    <col min="2" max="2" width="20.88671875" bestFit="1" customWidth="1"/>
  </cols>
  <sheetData>
    <row r="3" spans="1:2" x14ac:dyDescent="0.3">
      <c r="A3" s="4" t="s">
        <v>542</v>
      </c>
      <c r="B3" t="s">
        <v>545</v>
      </c>
    </row>
    <row r="4" spans="1:2" x14ac:dyDescent="0.3">
      <c r="A4" s="5" t="s">
        <v>47</v>
      </c>
      <c r="B4">
        <v>4242805</v>
      </c>
    </row>
    <row r="5" spans="1:2" x14ac:dyDescent="0.3">
      <c r="A5" s="5" t="s">
        <v>9</v>
      </c>
      <c r="B5">
        <v>4228792</v>
      </c>
    </row>
    <row r="6" spans="1:2" x14ac:dyDescent="0.3">
      <c r="A6" s="5" t="s">
        <v>29</v>
      </c>
      <c r="B6">
        <v>4207300</v>
      </c>
    </row>
    <row r="7" spans="1:2" x14ac:dyDescent="0.3">
      <c r="A7" s="5" t="s">
        <v>25</v>
      </c>
      <c r="B7">
        <v>4165130</v>
      </c>
    </row>
    <row r="8" spans="1:2" x14ac:dyDescent="0.3">
      <c r="A8" s="5" t="s">
        <v>21</v>
      </c>
      <c r="B8">
        <v>4092150</v>
      </c>
    </row>
    <row r="9" spans="1:2" x14ac:dyDescent="0.3">
      <c r="A9" s="5" t="s">
        <v>34</v>
      </c>
      <c r="B9">
        <v>3960863</v>
      </c>
    </row>
    <row r="10" spans="1:2" x14ac:dyDescent="0.3">
      <c r="A10" s="5" t="s">
        <v>41</v>
      </c>
      <c r="B10">
        <v>3758482</v>
      </c>
    </row>
    <row r="11" spans="1:2" x14ac:dyDescent="0.3">
      <c r="A11" s="5" t="s">
        <v>37</v>
      </c>
      <c r="B11">
        <v>3454994</v>
      </c>
    </row>
    <row r="12" spans="1:2" x14ac:dyDescent="0.3">
      <c r="A12" s="5" t="s">
        <v>15</v>
      </c>
      <c r="B12">
        <v>3371981</v>
      </c>
    </row>
    <row r="13" spans="1:2" x14ac:dyDescent="0.3">
      <c r="A13" s="5" t="s">
        <v>50</v>
      </c>
      <c r="B13">
        <v>3186808</v>
      </c>
    </row>
    <row r="14" spans="1:2" x14ac:dyDescent="0.3">
      <c r="A14" s="5" t="s">
        <v>543</v>
      </c>
      <c r="B14">
        <v>38669305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F35C7-62E7-4842-9819-28BEE078DC11}">
  <dimension ref="A3:B10"/>
  <sheetViews>
    <sheetView workbookViewId="0">
      <selection activeCell="O14" sqref="O14"/>
    </sheetView>
  </sheetViews>
  <sheetFormatPr defaultRowHeight="14.4" x14ac:dyDescent="0.3"/>
  <cols>
    <col min="1" max="1" width="13.21875" bestFit="1" customWidth="1"/>
    <col min="2" max="2" width="20.88671875" bestFit="1" customWidth="1"/>
  </cols>
  <sheetData>
    <row r="3" spans="1:2" x14ac:dyDescent="0.3">
      <c r="A3" s="4" t="s">
        <v>542</v>
      </c>
      <c r="B3" t="s">
        <v>545</v>
      </c>
    </row>
    <row r="4" spans="1:2" x14ac:dyDescent="0.3">
      <c r="A4" s="5" t="s">
        <v>26</v>
      </c>
      <c r="B4">
        <v>6950084</v>
      </c>
    </row>
    <row r="5" spans="1:2" x14ac:dyDescent="0.3">
      <c r="A5" s="5" t="s">
        <v>10</v>
      </c>
      <c r="B5">
        <v>6793872</v>
      </c>
    </row>
    <row r="6" spans="1:2" x14ac:dyDescent="0.3">
      <c r="A6" s="5" t="s">
        <v>22</v>
      </c>
      <c r="B6">
        <v>5703725</v>
      </c>
    </row>
    <row r="7" spans="1:2" x14ac:dyDescent="0.3">
      <c r="A7" s="5" t="s">
        <v>55</v>
      </c>
      <c r="B7">
        <v>7171911</v>
      </c>
    </row>
    <row r="8" spans="1:2" x14ac:dyDescent="0.3">
      <c r="A8" s="5" t="s">
        <v>16</v>
      </c>
      <c r="B8">
        <v>6377567</v>
      </c>
    </row>
    <row r="9" spans="1:2" x14ac:dyDescent="0.3">
      <c r="A9" s="5" t="s">
        <v>42</v>
      </c>
      <c r="B9">
        <v>5672146</v>
      </c>
    </row>
    <row r="10" spans="1:2" x14ac:dyDescent="0.3">
      <c r="A10" s="5" t="s">
        <v>543</v>
      </c>
      <c r="B10">
        <v>38669305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8CFE-FC85-4630-B182-387BAA0569DC}">
  <dimension ref="A3:E17"/>
  <sheetViews>
    <sheetView workbookViewId="0">
      <selection activeCell="F21" sqref="F21"/>
    </sheetView>
  </sheetViews>
  <sheetFormatPr defaultRowHeight="14.4" x14ac:dyDescent="0.3"/>
  <cols>
    <col min="1" max="1" width="21.6640625" bestFit="1" customWidth="1"/>
    <col min="2" max="2" width="15.5546875" bestFit="1" customWidth="1"/>
    <col min="3" max="3" width="4.6640625" bestFit="1" customWidth="1"/>
    <col min="4" max="4" width="7.88671875" bestFit="1" customWidth="1"/>
    <col min="5" max="5" width="10.77734375" bestFit="1" customWidth="1"/>
  </cols>
  <sheetData>
    <row r="3" spans="1:5" x14ac:dyDescent="0.3">
      <c r="A3" s="4" t="s">
        <v>546</v>
      </c>
      <c r="B3" s="4" t="s">
        <v>544</v>
      </c>
    </row>
    <row r="4" spans="1:5" x14ac:dyDescent="0.3">
      <c r="A4" s="4" t="s">
        <v>542</v>
      </c>
      <c r="B4" t="s">
        <v>12</v>
      </c>
      <c r="C4" t="s">
        <v>18</v>
      </c>
      <c r="D4" t="s">
        <v>32</v>
      </c>
      <c r="E4" t="s">
        <v>543</v>
      </c>
    </row>
    <row r="5" spans="1:5" x14ac:dyDescent="0.3">
      <c r="A5" s="5" t="s">
        <v>85</v>
      </c>
      <c r="B5">
        <v>10</v>
      </c>
      <c r="C5">
        <v>15</v>
      </c>
      <c r="D5">
        <v>21</v>
      </c>
      <c r="E5">
        <v>46</v>
      </c>
    </row>
    <row r="6" spans="1:5" x14ac:dyDescent="0.3">
      <c r="A6" s="5" t="s">
        <v>43</v>
      </c>
      <c r="B6">
        <v>14</v>
      </c>
      <c r="C6">
        <v>20</v>
      </c>
      <c r="D6">
        <v>16</v>
      </c>
      <c r="E6">
        <v>50</v>
      </c>
    </row>
    <row r="7" spans="1:5" x14ac:dyDescent="0.3">
      <c r="A7" s="5" t="s">
        <v>53</v>
      </c>
      <c r="B7">
        <v>11</v>
      </c>
      <c r="C7">
        <v>18</v>
      </c>
      <c r="D7">
        <v>15</v>
      </c>
      <c r="E7">
        <v>44</v>
      </c>
    </row>
    <row r="8" spans="1:5" x14ac:dyDescent="0.3">
      <c r="A8" s="5" t="s">
        <v>11</v>
      </c>
      <c r="B8">
        <v>10</v>
      </c>
      <c r="C8">
        <v>11</v>
      </c>
      <c r="D8">
        <v>11</v>
      </c>
      <c r="E8">
        <v>32</v>
      </c>
    </row>
    <row r="9" spans="1:5" x14ac:dyDescent="0.3">
      <c r="A9" s="5" t="s">
        <v>23</v>
      </c>
      <c r="B9">
        <v>20</v>
      </c>
      <c r="C9">
        <v>16</v>
      </c>
      <c r="D9">
        <v>11</v>
      </c>
      <c r="E9">
        <v>47</v>
      </c>
    </row>
    <row r="10" spans="1:5" x14ac:dyDescent="0.3">
      <c r="A10" s="5" t="s">
        <v>61</v>
      </c>
      <c r="B10">
        <v>16</v>
      </c>
      <c r="C10">
        <v>12</v>
      </c>
      <c r="D10">
        <v>19</v>
      </c>
      <c r="E10">
        <v>47</v>
      </c>
    </row>
    <row r="11" spans="1:5" x14ac:dyDescent="0.3">
      <c r="A11" s="5" t="s">
        <v>39</v>
      </c>
      <c r="B11">
        <v>12</v>
      </c>
      <c r="C11">
        <v>14</v>
      </c>
      <c r="D11">
        <v>14</v>
      </c>
      <c r="E11">
        <v>40</v>
      </c>
    </row>
    <row r="12" spans="1:5" x14ac:dyDescent="0.3">
      <c r="A12" s="5" t="s">
        <v>30</v>
      </c>
      <c r="B12">
        <v>20</v>
      </c>
      <c r="C12">
        <v>10</v>
      </c>
      <c r="D12">
        <v>17</v>
      </c>
      <c r="E12">
        <v>47</v>
      </c>
    </row>
    <row r="13" spans="1:5" x14ac:dyDescent="0.3">
      <c r="A13" s="5" t="s">
        <v>17</v>
      </c>
      <c r="B13">
        <v>12</v>
      </c>
      <c r="C13">
        <v>13</v>
      </c>
      <c r="D13">
        <v>10</v>
      </c>
      <c r="E13">
        <v>35</v>
      </c>
    </row>
    <row r="14" spans="1:5" x14ac:dyDescent="0.3">
      <c r="A14" s="5" t="s">
        <v>27</v>
      </c>
      <c r="B14">
        <v>4</v>
      </c>
      <c r="C14">
        <v>15</v>
      </c>
      <c r="D14">
        <v>14</v>
      </c>
      <c r="E14">
        <v>33</v>
      </c>
    </row>
    <row r="15" spans="1:5" x14ac:dyDescent="0.3">
      <c r="A15" s="5" t="s">
        <v>45</v>
      </c>
      <c r="B15">
        <v>17</v>
      </c>
      <c r="C15">
        <v>9</v>
      </c>
      <c r="D15">
        <v>12</v>
      </c>
      <c r="E15">
        <v>38</v>
      </c>
    </row>
    <row r="16" spans="1:5" x14ac:dyDescent="0.3">
      <c r="A16" s="5" t="s">
        <v>48</v>
      </c>
      <c r="B16">
        <v>10</v>
      </c>
      <c r="C16">
        <v>16</v>
      </c>
      <c r="D16">
        <v>15</v>
      </c>
      <c r="E16">
        <v>41</v>
      </c>
    </row>
    <row r="17" spans="1:5" x14ac:dyDescent="0.3">
      <c r="A17" s="5" t="s">
        <v>543</v>
      </c>
      <c r="B17">
        <v>156</v>
      </c>
      <c r="C17">
        <v>169</v>
      </c>
      <c r="D17">
        <v>175</v>
      </c>
      <c r="E17">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19F50-8C2A-47E5-8041-46EAE527A090}">
  <dimension ref="A3:B14"/>
  <sheetViews>
    <sheetView workbookViewId="0">
      <selection activeCell="A20" sqref="A20"/>
    </sheetView>
  </sheetViews>
  <sheetFormatPr defaultRowHeight="14.4" x14ac:dyDescent="0.3"/>
  <cols>
    <col min="1" max="1" width="14.33203125" bestFit="1" customWidth="1"/>
    <col min="2" max="2" width="28.44140625" bestFit="1" customWidth="1"/>
  </cols>
  <sheetData>
    <row r="3" spans="1:2" x14ac:dyDescent="0.3">
      <c r="A3" s="4" t="s">
        <v>542</v>
      </c>
      <c r="B3" t="s">
        <v>547</v>
      </c>
    </row>
    <row r="4" spans="1:2" x14ac:dyDescent="0.3">
      <c r="A4" s="5" t="s">
        <v>47</v>
      </c>
      <c r="B4">
        <v>7.1020408163265305</v>
      </c>
    </row>
    <row r="5" spans="1:2" x14ac:dyDescent="0.3">
      <c r="A5" s="5" t="s">
        <v>29</v>
      </c>
      <c r="B5">
        <v>7.1964285714285712</v>
      </c>
    </row>
    <row r="6" spans="1:2" x14ac:dyDescent="0.3">
      <c r="A6" s="5" t="s">
        <v>34</v>
      </c>
      <c r="B6">
        <v>7.2448979591836737</v>
      </c>
    </row>
    <row r="7" spans="1:2" x14ac:dyDescent="0.3">
      <c r="A7" s="5" t="s">
        <v>21</v>
      </c>
      <c r="B7">
        <v>7.479166666666667</v>
      </c>
    </row>
    <row r="8" spans="1:2" x14ac:dyDescent="0.3">
      <c r="A8" s="5" t="s">
        <v>9</v>
      </c>
      <c r="B8">
        <v>7.0754716981132075</v>
      </c>
    </row>
    <row r="9" spans="1:2" x14ac:dyDescent="0.3">
      <c r="A9" s="5" t="s">
        <v>50</v>
      </c>
      <c r="B9">
        <v>8.1777777777777771</v>
      </c>
    </row>
    <row r="10" spans="1:2" x14ac:dyDescent="0.3">
      <c r="A10" s="5" t="s">
        <v>25</v>
      </c>
      <c r="B10">
        <v>7.7368421052631575</v>
      </c>
    </row>
    <row r="11" spans="1:2" x14ac:dyDescent="0.3">
      <c r="A11" s="5" t="s">
        <v>41</v>
      </c>
      <c r="B11">
        <v>7.365384615384615</v>
      </c>
    </row>
    <row r="12" spans="1:2" x14ac:dyDescent="0.3">
      <c r="A12" s="5" t="s">
        <v>15</v>
      </c>
      <c r="B12">
        <v>7.9787234042553195</v>
      </c>
    </row>
    <row r="13" spans="1:2" x14ac:dyDescent="0.3">
      <c r="A13" s="5" t="s">
        <v>37</v>
      </c>
      <c r="B13">
        <v>6.8181818181818183</v>
      </c>
    </row>
    <row r="14" spans="1:2" x14ac:dyDescent="0.3">
      <c r="A14" s="5" t="s">
        <v>543</v>
      </c>
      <c r="B14">
        <v>7.4139999999999997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841D8-4336-46AC-AAE1-8E67D5A4F287}">
  <dimension ref="A3:D14"/>
  <sheetViews>
    <sheetView workbookViewId="0">
      <selection activeCell="L18" sqref="L18"/>
    </sheetView>
  </sheetViews>
  <sheetFormatPr defaultRowHeight="14.4" x14ac:dyDescent="0.3"/>
  <cols>
    <col min="1" max="1" width="14.33203125" bestFit="1" customWidth="1"/>
  </cols>
  <sheetData>
    <row r="3" spans="1:4" x14ac:dyDescent="0.3">
      <c r="A3" s="4" t="s">
        <v>542</v>
      </c>
    </row>
    <row r="4" spans="1:4" x14ac:dyDescent="0.3">
      <c r="A4" s="5" t="s">
        <v>47</v>
      </c>
      <c r="D4">
        <f>COUNTA(A3:A14)-2</f>
        <v>10</v>
      </c>
    </row>
    <row r="5" spans="1:4" x14ac:dyDescent="0.3">
      <c r="A5" s="5" t="s">
        <v>29</v>
      </c>
    </row>
    <row r="6" spans="1:4" x14ac:dyDescent="0.3">
      <c r="A6" s="5" t="s">
        <v>34</v>
      </c>
    </row>
    <row r="7" spans="1:4" x14ac:dyDescent="0.3">
      <c r="A7" s="5" t="s">
        <v>21</v>
      </c>
    </row>
    <row r="8" spans="1:4" x14ac:dyDescent="0.3">
      <c r="A8" s="5" t="s">
        <v>9</v>
      </c>
    </row>
    <row r="9" spans="1:4" x14ac:dyDescent="0.3">
      <c r="A9" s="5" t="s">
        <v>50</v>
      </c>
    </row>
    <row r="10" spans="1:4" x14ac:dyDescent="0.3">
      <c r="A10" s="5" t="s">
        <v>25</v>
      </c>
    </row>
    <row r="11" spans="1:4" x14ac:dyDescent="0.3">
      <c r="A11" s="5" t="s">
        <v>41</v>
      </c>
    </row>
    <row r="12" spans="1:4" x14ac:dyDescent="0.3">
      <c r="A12" s="5" t="s">
        <v>15</v>
      </c>
    </row>
    <row r="13" spans="1:4" x14ac:dyDescent="0.3">
      <c r="A13" s="5" t="s">
        <v>37</v>
      </c>
    </row>
    <row r="14" spans="1:4" x14ac:dyDescent="0.3">
      <c r="A14" s="5" t="s">
        <v>543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91327-2D45-4166-8136-300445AF51B6}">
  <dimension ref="A1:D2"/>
  <sheetViews>
    <sheetView showGridLines="0" tabSelected="1" workbookViewId="0">
      <selection activeCell="S2" sqref="S2"/>
    </sheetView>
  </sheetViews>
  <sheetFormatPr defaultRowHeight="14.4" x14ac:dyDescent="0.3"/>
  <cols>
    <col min="1" max="1" width="18.44140625" customWidth="1"/>
    <col min="2" max="2" width="19.109375" customWidth="1"/>
    <col min="3" max="3" width="21" bestFit="1" customWidth="1"/>
    <col min="4" max="4" width="18.5546875" bestFit="1" customWidth="1"/>
  </cols>
  <sheetData>
    <row r="1" spans="1:4" ht="18" x14ac:dyDescent="0.35">
      <c r="A1" s="2"/>
      <c r="B1" s="2"/>
      <c r="C1" s="2"/>
      <c r="D1" s="2"/>
    </row>
    <row r="2" spans="1:4" ht="17.399999999999999" x14ac:dyDescent="0.35">
      <c r="A2"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opLeftCell="A2" zoomScaleNormal="100" workbookViewId="0">
      <selection activeCell="L8" sqref="L8"/>
    </sheetView>
  </sheetViews>
  <sheetFormatPr defaultRowHeight="14.4" x14ac:dyDescent="0.3"/>
  <cols>
    <col min="1" max="1" width="15.44140625" customWidth="1"/>
    <col min="2" max="2" width="15.77734375" customWidth="1"/>
    <col min="3" max="3" width="13.21875" bestFit="1" customWidth="1"/>
    <col min="4" max="4" width="9.5546875" customWidth="1"/>
    <col min="5" max="5" width="16.109375" customWidth="1"/>
    <col min="6" max="6" width="16.6640625" customWidth="1"/>
    <col min="7" max="7" width="20.33203125" customWidth="1"/>
    <col min="8" max="8" width="16.33203125" customWidth="1"/>
  </cols>
  <sheetData>
    <row r="1" spans="1:8" x14ac:dyDescent="0.3">
      <c r="A1" s="1" t="s">
        <v>0</v>
      </c>
      <c r="B1" s="1" t="s">
        <v>1</v>
      </c>
      <c r="C1" s="1" t="s">
        <v>2</v>
      </c>
      <c r="D1" s="6" t="s">
        <v>3</v>
      </c>
      <c r="E1" s="1" t="s">
        <v>4</v>
      </c>
      <c r="F1" s="1" t="s">
        <v>5</v>
      </c>
      <c r="G1" s="1" t="s">
        <v>6</v>
      </c>
      <c r="H1" s="1" t="s">
        <v>7</v>
      </c>
    </row>
    <row r="2" spans="1:8" x14ac:dyDescent="0.3">
      <c r="A2" t="s">
        <v>8</v>
      </c>
      <c r="B2" t="s">
        <v>9</v>
      </c>
      <c r="C2" t="s">
        <v>10</v>
      </c>
      <c r="D2" t="s">
        <v>11</v>
      </c>
      <c r="E2">
        <v>130960</v>
      </c>
      <c r="F2" t="s">
        <v>12</v>
      </c>
      <c r="G2">
        <v>15</v>
      </c>
      <c r="H2" t="s">
        <v>13</v>
      </c>
    </row>
    <row r="3" spans="1:8" x14ac:dyDescent="0.3">
      <c r="A3" t="s">
        <v>14</v>
      </c>
      <c r="B3" t="s">
        <v>15</v>
      </c>
      <c r="C3" t="s">
        <v>16</v>
      </c>
      <c r="D3" t="s">
        <v>17</v>
      </c>
      <c r="E3">
        <v>16727</v>
      </c>
      <c r="F3" t="s">
        <v>18</v>
      </c>
      <c r="G3">
        <v>1</v>
      </c>
      <c r="H3" t="s">
        <v>19</v>
      </c>
    </row>
    <row r="4" spans="1:8" x14ac:dyDescent="0.3">
      <c r="A4" t="s">
        <v>20</v>
      </c>
      <c r="B4" t="s">
        <v>21</v>
      </c>
      <c r="C4" t="s">
        <v>22</v>
      </c>
      <c r="D4" t="s">
        <v>23</v>
      </c>
      <c r="E4">
        <v>16119</v>
      </c>
      <c r="F4" t="s">
        <v>12</v>
      </c>
      <c r="G4">
        <v>8</v>
      </c>
      <c r="H4" t="s">
        <v>19</v>
      </c>
    </row>
    <row r="5" spans="1:8" x14ac:dyDescent="0.3">
      <c r="A5" t="s">
        <v>24</v>
      </c>
      <c r="B5" t="s">
        <v>25</v>
      </c>
      <c r="C5" t="s">
        <v>26</v>
      </c>
      <c r="D5" t="s">
        <v>27</v>
      </c>
      <c r="E5">
        <v>127984</v>
      </c>
      <c r="F5" t="s">
        <v>18</v>
      </c>
      <c r="G5">
        <v>12</v>
      </c>
      <c r="H5" t="s">
        <v>13</v>
      </c>
    </row>
    <row r="6" spans="1:8" x14ac:dyDescent="0.3">
      <c r="A6" t="s">
        <v>28</v>
      </c>
      <c r="B6" t="s">
        <v>29</v>
      </c>
      <c r="C6" t="s">
        <v>22</v>
      </c>
      <c r="D6" t="s">
        <v>30</v>
      </c>
      <c r="E6">
        <v>12548</v>
      </c>
      <c r="F6" t="s">
        <v>12</v>
      </c>
      <c r="G6">
        <v>1</v>
      </c>
      <c r="H6" t="s">
        <v>19</v>
      </c>
    </row>
    <row r="7" spans="1:8" x14ac:dyDescent="0.3">
      <c r="A7" t="s">
        <v>31</v>
      </c>
      <c r="B7" t="s">
        <v>15</v>
      </c>
      <c r="C7" t="s">
        <v>10</v>
      </c>
      <c r="D7" t="s">
        <v>30</v>
      </c>
      <c r="E7">
        <v>49372</v>
      </c>
      <c r="F7" t="s">
        <v>32</v>
      </c>
      <c r="G7">
        <v>13</v>
      </c>
      <c r="H7" t="s">
        <v>19</v>
      </c>
    </row>
    <row r="8" spans="1:8" x14ac:dyDescent="0.3">
      <c r="A8" t="s">
        <v>33</v>
      </c>
      <c r="B8" t="s">
        <v>34</v>
      </c>
      <c r="C8" t="s">
        <v>16</v>
      </c>
      <c r="D8" t="s">
        <v>17</v>
      </c>
      <c r="E8">
        <v>60279</v>
      </c>
      <c r="F8" t="s">
        <v>18</v>
      </c>
      <c r="G8">
        <v>1</v>
      </c>
      <c r="H8" t="s">
        <v>35</v>
      </c>
    </row>
    <row r="9" spans="1:8" x14ac:dyDescent="0.3">
      <c r="A9" t="s">
        <v>36</v>
      </c>
      <c r="B9" t="s">
        <v>37</v>
      </c>
      <c r="C9" t="s">
        <v>16</v>
      </c>
      <c r="D9" t="s">
        <v>30</v>
      </c>
      <c r="E9">
        <v>46017</v>
      </c>
      <c r="F9" t="s">
        <v>12</v>
      </c>
      <c r="G9">
        <v>2</v>
      </c>
      <c r="H9" t="s">
        <v>35</v>
      </c>
    </row>
    <row r="10" spans="1:8" x14ac:dyDescent="0.3">
      <c r="A10" t="s">
        <v>38</v>
      </c>
      <c r="B10" t="s">
        <v>37</v>
      </c>
      <c r="C10" t="s">
        <v>22</v>
      </c>
      <c r="D10" t="s">
        <v>39</v>
      </c>
      <c r="E10">
        <v>28915</v>
      </c>
      <c r="F10" t="s">
        <v>18</v>
      </c>
      <c r="G10">
        <v>14</v>
      </c>
      <c r="H10" t="s">
        <v>13</v>
      </c>
    </row>
    <row r="11" spans="1:8" x14ac:dyDescent="0.3">
      <c r="A11" t="s">
        <v>40</v>
      </c>
      <c r="B11" t="s">
        <v>41</v>
      </c>
      <c r="C11" t="s">
        <v>42</v>
      </c>
      <c r="D11" t="s">
        <v>43</v>
      </c>
      <c r="E11">
        <v>36763</v>
      </c>
      <c r="F11" t="s">
        <v>32</v>
      </c>
      <c r="G11">
        <v>3</v>
      </c>
      <c r="H11" t="s">
        <v>35</v>
      </c>
    </row>
    <row r="12" spans="1:8" x14ac:dyDescent="0.3">
      <c r="A12" t="s">
        <v>44</v>
      </c>
      <c r="B12" t="s">
        <v>21</v>
      </c>
      <c r="C12" t="s">
        <v>22</v>
      </c>
      <c r="D12" t="s">
        <v>45</v>
      </c>
      <c r="E12">
        <v>121355</v>
      </c>
      <c r="F12" t="s">
        <v>18</v>
      </c>
      <c r="G12">
        <v>7</v>
      </c>
      <c r="H12" t="s">
        <v>13</v>
      </c>
    </row>
    <row r="13" spans="1:8" x14ac:dyDescent="0.3">
      <c r="A13" t="s">
        <v>46</v>
      </c>
      <c r="B13" t="s">
        <v>47</v>
      </c>
      <c r="C13" t="s">
        <v>10</v>
      </c>
      <c r="D13" t="s">
        <v>48</v>
      </c>
      <c r="E13">
        <v>71705</v>
      </c>
      <c r="F13" t="s">
        <v>12</v>
      </c>
      <c r="G13">
        <v>0</v>
      </c>
      <c r="H13" t="s">
        <v>19</v>
      </c>
    </row>
    <row r="14" spans="1:8" x14ac:dyDescent="0.3">
      <c r="A14" t="s">
        <v>49</v>
      </c>
      <c r="B14" t="s">
        <v>50</v>
      </c>
      <c r="C14" t="s">
        <v>10</v>
      </c>
      <c r="D14" t="s">
        <v>30</v>
      </c>
      <c r="E14">
        <v>136859</v>
      </c>
      <c r="F14" t="s">
        <v>32</v>
      </c>
      <c r="G14">
        <v>9</v>
      </c>
      <c r="H14" t="s">
        <v>19</v>
      </c>
    </row>
    <row r="15" spans="1:8" x14ac:dyDescent="0.3">
      <c r="A15" t="s">
        <v>51</v>
      </c>
      <c r="B15" t="s">
        <v>41</v>
      </c>
      <c r="C15" t="s">
        <v>16</v>
      </c>
      <c r="D15" t="s">
        <v>30</v>
      </c>
      <c r="E15">
        <v>23910</v>
      </c>
      <c r="F15" t="s">
        <v>32</v>
      </c>
      <c r="G15">
        <v>8</v>
      </c>
      <c r="H15" t="s">
        <v>35</v>
      </c>
    </row>
    <row r="16" spans="1:8" x14ac:dyDescent="0.3">
      <c r="A16" t="s">
        <v>52</v>
      </c>
      <c r="B16" t="s">
        <v>41</v>
      </c>
      <c r="C16" t="s">
        <v>26</v>
      </c>
      <c r="D16" t="s">
        <v>53</v>
      </c>
      <c r="E16">
        <v>71719</v>
      </c>
      <c r="F16" t="s">
        <v>18</v>
      </c>
      <c r="G16">
        <v>9</v>
      </c>
      <c r="H16" t="s">
        <v>19</v>
      </c>
    </row>
    <row r="17" spans="1:8" x14ac:dyDescent="0.3">
      <c r="A17" t="s">
        <v>54</v>
      </c>
      <c r="B17" t="s">
        <v>21</v>
      </c>
      <c r="C17" t="s">
        <v>55</v>
      </c>
      <c r="D17" t="s">
        <v>30</v>
      </c>
      <c r="E17">
        <v>28507</v>
      </c>
      <c r="F17" t="s">
        <v>18</v>
      </c>
      <c r="G17">
        <v>6</v>
      </c>
      <c r="H17" t="s">
        <v>19</v>
      </c>
    </row>
    <row r="18" spans="1:8" x14ac:dyDescent="0.3">
      <c r="A18" t="s">
        <v>56</v>
      </c>
      <c r="B18" t="s">
        <v>9</v>
      </c>
      <c r="C18" t="s">
        <v>10</v>
      </c>
      <c r="D18" t="s">
        <v>53</v>
      </c>
      <c r="E18">
        <v>42822</v>
      </c>
      <c r="F18" t="s">
        <v>32</v>
      </c>
      <c r="G18">
        <v>6</v>
      </c>
      <c r="H18" t="s">
        <v>35</v>
      </c>
    </row>
    <row r="19" spans="1:8" x14ac:dyDescent="0.3">
      <c r="A19" t="s">
        <v>57</v>
      </c>
      <c r="B19" t="s">
        <v>29</v>
      </c>
      <c r="C19" t="s">
        <v>55</v>
      </c>
      <c r="D19" t="s">
        <v>39</v>
      </c>
      <c r="E19">
        <v>24227</v>
      </c>
      <c r="F19" t="s">
        <v>12</v>
      </c>
      <c r="G19">
        <v>6</v>
      </c>
      <c r="H19" t="s">
        <v>35</v>
      </c>
    </row>
    <row r="20" spans="1:8" x14ac:dyDescent="0.3">
      <c r="A20" t="s">
        <v>58</v>
      </c>
      <c r="B20" t="s">
        <v>9</v>
      </c>
      <c r="C20" t="s">
        <v>26</v>
      </c>
      <c r="D20" t="s">
        <v>48</v>
      </c>
      <c r="E20">
        <v>55954</v>
      </c>
      <c r="F20" t="s">
        <v>18</v>
      </c>
      <c r="G20">
        <v>0</v>
      </c>
      <c r="H20" t="s">
        <v>35</v>
      </c>
    </row>
    <row r="21" spans="1:8" x14ac:dyDescent="0.3">
      <c r="A21" t="s">
        <v>59</v>
      </c>
      <c r="B21" t="s">
        <v>9</v>
      </c>
      <c r="C21" t="s">
        <v>22</v>
      </c>
      <c r="D21" t="s">
        <v>43</v>
      </c>
      <c r="E21">
        <v>109178</v>
      </c>
      <c r="F21" t="s">
        <v>18</v>
      </c>
      <c r="G21">
        <v>8</v>
      </c>
      <c r="H21" t="s">
        <v>19</v>
      </c>
    </row>
    <row r="22" spans="1:8" x14ac:dyDescent="0.3">
      <c r="A22" t="s">
        <v>60</v>
      </c>
      <c r="B22" t="s">
        <v>41</v>
      </c>
      <c r="C22" t="s">
        <v>26</v>
      </c>
      <c r="D22" t="s">
        <v>61</v>
      </c>
      <c r="E22">
        <v>28559</v>
      </c>
      <c r="F22" t="s">
        <v>18</v>
      </c>
      <c r="G22">
        <v>13</v>
      </c>
      <c r="H22" t="s">
        <v>35</v>
      </c>
    </row>
    <row r="23" spans="1:8" x14ac:dyDescent="0.3">
      <c r="A23" t="s">
        <v>62</v>
      </c>
      <c r="B23" t="s">
        <v>25</v>
      </c>
      <c r="C23" t="s">
        <v>22</v>
      </c>
      <c r="D23" t="s">
        <v>43</v>
      </c>
      <c r="E23">
        <v>116919</v>
      </c>
      <c r="F23" t="s">
        <v>18</v>
      </c>
      <c r="G23">
        <v>2</v>
      </c>
      <c r="H23" t="s">
        <v>13</v>
      </c>
    </row>
    <row r="24" spans="1:8" x14ac:dyDescent="0.3">
      <c r="A24" t="s">
        <v>63</v>
      </c>
      <c r="B24" t="s">
        <v>41</v>
      </c>
      <c r="C24" t="s">
        <v>22</v>
      </c>
      <c r="D24" t="s">
        <v>45</v>
      </c>
      <c r="E24">
        <v>10264</v>
      </c>
      <c r="F24" t="s">
        <v>18</v>
      </c>
      <c r="G24">
        <v>13</v>
      </c>
      <c r="H24" t="s">
        <v>19</v>
      </c>
    </row>
    <row r="25" spans="1:8" x14ac:dyDescent="0.3">
      <c r="A25" t="s">
        <v>64</v>
      </c>
      <c r="B25" t="s">
        <v>50</v>
      </c>
      <c r="C25" t="s">
        <v>10</v>
      </c>
      <c r="D25" t="s">
        <v>61</v>
      </c>
      <c r="E25">
        <v>26096</v>
      </c>
      <c r="F25" t="s">
        <v>32</v>
      </c>
      <c r="G25">
        <v>13</v>
      </c>
      <c r="H25" t="s">
        <v>35</v>
      </c>
    </row>
    <row r="26" spans="1:8" x14ac:dyDescent="0.3">
      <c r="A26" t="s">
        <v>65</v>
      </c>
      <c r="B26" t="s">
        <v>37</v>
      </c>
      <c r="C26" t="s">
        <v>16</v>
      </c>
      <c r="D26" t="s">
        <v>45</v>
      </c>
      <c r="E26">
        <v>25651</v>
      </c>
      <c r="F26" t="s">
        <v>12</v>
      </c>
      <c r="G26">
        <v>12</v>
      </c>
      <c r="H26" t="s">
        <v>19</v>
      </c>
    </row>
    <row r="27" spans="1:8" x14ac:dyDescent="0.3">
      <c r="A27" t="s">
        <v>66</v>
      </c>
      <c r="B27" t="s">
        <v>41</v>
      </c>
      <c r="C27" t="s">
        <v>42</v>
      </c>
      <c r="D27" t="s">
        <v>61</v>
      </c>
      <c r="E27">
        <v>73122</v>
      </c>
      <c r="F27" t="s">
        <v>32</v>
      </c>
      <c r="G27">
        <v>15</v>
      </c>
      <c r="H27" t="s">
        <v>13</v>
      </c>
    </row>
    <row r="28" spans="1:8" x14ac:dyDescent="0.3">
      <c r="A28" t="s">
        <v>67</v>
      </c>
      <c r="B28" t="s">
        <v>29</v>
      </c>
      <c r="C28" t="s">
        <v>10</v>
      </c>
      <c r="D28" t="s">
        <v>48</v>
      </c>
      <c r="E28">
        <v>37125</v>
      </c>
      <c r="F28" t="s">
        <v>32</v>
      </c>
      <c r="G28">
        <v>14</v>
      </c>
      <c r="H28" t="s">
        <v>13</v>
      </c>
    </row>
    <row r="29" spans="1:8" x14ac:dyDescent="0.3">
      <c r="A29" t="s">
        <v>68</v>
      </c>
      <c r="B29" t="s">
        <v>37</v>
      </c>
      <c r="C29" t="s">
        <v>10</v>
      </c>
      <c r="D29" t="s">
        <v>61</v>
      </c>
      <c r="E29">
        <v>86822</v>
      </c>
      <c r="F29" t="s">
        <v>18</v>
      </c>
      <c r="G29">
        <v>10</v>
      </c>
      <c r="H29" t="s">
        <v>19</v>
      </c>
    </row>
    <row r="30" spans="1:8" x14ac:dyDescent="0.3">
      <c r="A30" t="s">
        <v>69</v>
      </c>
      <c r="B30" t="s">
        <v>34</v>
      </c>
      <c r="C30" t="s">
        <v>26</v>
      </c>
      <c r="D30" t="s">
        <v>30</v>
      </c>
      <c r="E30">
        <v>91258</v>
      </c>
      <c r="F30" t="s">
        <v>18</v>
      </c>
      <c r="G30">
        <v>14</v>
      </c>
      <c r="H30" t="s">
        <v>19</v>
      </c>
    </row>
    <row r="31" spans="1:8" x14ac:dyDescent="0.3">
      <c r="A31" t="s">
        <v>70</v>
      </c>
      <c r="B31" t="s">
        <v>21</v>
      </c>
      <c r="C31" t="s">
        <v>42</v>
      </c>
      <c r="D31" t="s">
        <v>43</v>
      </c>
      <c r="E31">
        <v>27165</v>
      </c>
      <c r="F31" t="s">
        <v>12</v>
      </c>
      <c r="G31">
        <v>13</v>
      </c>
      <c r="H31" t="s">
        <v>35</v>
      </c>
    </row>
    <row r="32" spans="1:8" x14ac:dyDescent="0.3">
      <c r="A32" t="s">
        <v>71</v>
      </c>
      <c r="B32" t="s">
        <v>9</v>
      </c>
      <c r="C32" t="s">
        <v>26</v>
      </c>
      <c r="D32" t="s">
        <v>61</v>
      </c>
      <c r="E32">
        <v>65273</v>
      </c>
      <c r="F32" t="s">
        <v>18</v>
      </c>
      <c r="G32">
        <v>11</v>
      </c>
      <c r="H32" t="s">
        <v>19</v>
      </c>
    </row>
    <row r="33" spans="1:8" x14ac:dyDescent="0.3">
      <c r="A33" t="s">
        <v>72</v>
      </c>
      <c r="B33" t="s">
        <v>25</v>
      </c>
      <c r="C33" t="s">
        <v>16</v>
      </c>
      <c r="D33" t="s">
        <v>45</v>
      </c>
      <c r="E33">
        <v>33495</v>
      </c>
      <c r="F33" t="s">
        <v>12</v>
      </c>
      <c r="G33">
        <v>6</v>
      </c>
      <c r="H33" t="s">
        <v>19</v>
      </c>
    </row>
    <row r="34" spans="1:8" x14ac:dyDescent="0.3">
      <c r="A34" t="s">
        <v>73</v>
      </c>
      <c r="B34" t="s">
        <v>9</v>
      </c>
      <c r="C34" t="s">
        <v>55</v>
      </c>
      <c r="D34" t="s">
        <v>23</v>
      </c>
      <c r="E34">
        <v>52378</v>
      </c>
      <c r="F34" t="s">
        <v>12</v>
      </c>
      <c r="G34">
        <v>4</v>
      </c>
      <c r="H34" t="s">
        <v>35</v>
      </c>
    </row>
    <row r="35" spans="1:8" x14ac:dyDescent="0.3">
      <c r="A35" t="s">
        <v>74</v>
      </c>
      <c r="B35" t="s">
        <v>15</v>
      </c>
      <c r="C35" t="s">
        <v>42</v>
      </c>
      <c r="D35" t="s">
        <v>45</v>
      </c>
      <c r="E35">
        <v>70124</v>
      </c>
      <c r="F35" t="s">
        <v>32</v>
      </c>
      <c r="G35">
        <v>10</v>
      </c>
      <c r="H35" t="s">
        <v>35</v>
      </c>
    </row>
    <row r="36" spans="1:8" x14ac:dyDescent="0.3">
      <c r="A36" t="s">
        <v>75</v>
      </c>
      <c r="B36" t="s">
        <v>37</v>
      </c>
      <c r="C36" t="s">
        <v>10</v>
      </c>
      <c r="D36" t="s">
        <v>17</v>
      </c>
      <c r="E36">
        <v>92829</v>
      </c>
      <c r="F36" t="s">
        <v>18</v>
      </c>
      <c r="G36">
        <v>5</v>
      </c>
      <c r="H36" t="s">
        <v>13</v>
      </c>
    </row>
    <row r="37" spans="1:8" x14ac:dyDescent="0.3">
      <c r="A37" t="s">
        <v>76</v>
      </c>
      <c r="B37" t="s">
        <v>15</v>
      </c>
      <c r="C37" t="s">
        <v>22</v>
      </c>
      <c r="D37" t="s">
        <v>17</v>
      </c>
      <c r="E37">
        <v>81740</v>
      </c>
      <c r="F37" t="s">
        <v>12</v>
      </c>
      <c r="G37">
        <v>10</v>
      </c>
      <c r="H37" t="s">
        <v>19</v>
      </c>
    </row>
    <row r="38" spans="1:8" x14ac:dyDescent="0.3">
      <c r="A38" t="s">
        <v>77</v>
      </c>
      <c r="B38" t="s">
        <v>15</v>
      </c>
      <c r="C38" t="s">
        <v>16</v>
      </c>
      <c r="D38" t="s">
        <v>48</v>
      </c>
      <c r="E38">
        <v>46581</v>
      </c>
      <c r="F38" t="s">
        <v>18</v>
      </c>
      <c r="G38">
        <v>7</v>
      </c>
      <c r="H38" t="s">
        <v>19</v>
      </c>
    </row>
    <row r="39" spans="1:8" x14ac:dyDescent="0.3">
      <c r="A39" t="s">
        <v>78</v>
      </c>
      <c r="B39" t="s">
        <v>9</v>
      </c>
      <c r="C39" t="s">
        <v>55</v>
      </c>
      <c r="D39" t="s">
        <v>43</v>
      </c>
      <c r="E39">
        <v>74263</v>
      </c>
      <c r="F39" t="s">
        <v>12</v>
      </c>
      <c r="G39">
        <v>6</v>
      </c>
      <c r="H39" t="s">
        <v>13</v>
      </c>
    </row>
    <row r="40" spans="1:8" x14ac:dyDescent="0.3">
      <c r="A40" t="s">
        <v>79</v>
      </c>
      <c r="B40" t="s">
        <v>29</v>
      </c>
      <c r="C40" t="s">
        <v>10</v>
      </c>
      <c r="D40" t="s">
        <v>17</v>
      </c>
      <c r="E40">
        <v>84051</v>
      </c>
      <c r="F40" t="s">
        <v>12</v>
      </c>
      <c r="G40">
        <v>13</v>
      </c>
      <c r="H40" t="s">
        <v>35</v>
      </c>
    </row>
    <row r="41" spans="1:8" x14ac:dyDescent="0.3">
      <c r="A41" t="s">
        <v>80</v>
      </c>
      <c r="B41" t="s">
        <v>29</v>
      </c>
      <c r="C41" t="s">
        <v>55</v>
      </c>
      <c r="D41" t="s">
        <v>23</v>
      </c>
      <c r="E41">
        <v>74222</v>
      </c>
      <c r="F41" t="s">
        <v>18</v>
      </c>
      <c r="G41">
        <v>1</v>
      </c>
      <c r="H41" t="s">
        <v>13</v>
      </c>
    </row>
    <row r="42" spans="1:8" x14ac:dyDescent="0.3">
      <c r="A42" t="s">
        <v>81</v>
      </c>
      <c r="B42" t="s">
        <v>15</v>
      </c>
      <c r="C42" t="s">
        <v>42</v>
      </c>
      <c r="D42" t="s">
        <v>17</v>
      </c>
      <c r="E42">
        <v>50011</v>
      </c>
      <c r="F42" t="s">
        <v>18</v>
      </c>
      <c r="G42">
        <v>3</v>
      </c>
      <c r="H42" t="s">
        <v>13</v>
      </c>
    </row>
    <row r="43" spans="1:8" x14ac:dyDescent="0.3">
      <c r="A43" t="s">
        <v>82</v>
      </c>
      <c r="B43" t="s">
        <v>37</v>
      </c>
      <c r="C43" t="s">
        <v>55</v>
      </c>
      <c r="D43" t="s">
        <v>17</v>
      </c>
      <c r="E43">
        <v>33661</v>
      </c>
      <c r="F43" t="s">
        <v>32</v>
      </c>
      <c r="G43">
        <v>5</v>
      </c>
      <c r="H43" t="s">
        <v>13</v>
      </c>
    </row>
    <row r="44" spans="1:8" x14ac:dyDescent="0.3">
      <c r="A44" t="s">
        <v>83</v>
      </c>
      <c r="B44" t="s">
        <v>29</v>
      </c>
      <c r="C44" t="s">
        <v>55</v>
      </c>
      <c r="D44" t="s">
        <v>27</v>
      </c>
      <c r="E44">
        <v>81923</v>
      </c>
      <c r="F44" t="s">
        <v>18</v>
      </c>
      <c r="G44">
        <v>14</v>
      </c>
      <c r="H44" t="s">
        <v>19</v>
      </c>
    </row>
    <row r="45" spans="1:8" x14ac:dyDescent="0.3">
      <c r="A45" t="s">
        <v>84</v>
      </c>
      <c r="B45" t="s">
        <v>50</v>
      </c>
      <c r="C45" t="s">
        <v>42</v>
      </c>
      <c r="D45" t="s">
        <v>85</v>
      </c>
      <c r="E45">
        <v>107929</v>
      </c>
      <c r="F45" t="s">
        <v>12</v>
      </c>
      <c r="G45">
        <v>9</v>
      </c>
      <c r="H45" t="s">
        <v>13</v>
      </c>
    </row>
    <row r="46" spans="1:8" x14ac:dyDescent="0.3">
      <c r="A46" t="s">
        <v>86</v>
      </c>
      <c r="B46" t="s">
        <v>25</v>
      </c>
      <c r="C46" t="s">
        <v>10</v>
      </c>
      <c r="D46" t="s">
        <v>23</v>
      </c>
      <c r="E46">
        <v>36910</v>
      </c>
      <c r="F46" t="s">
        <v>12</v>
      </c>
      <c r="G46">
        <v>5</v>
      </c>
      <c r="H46" t="s">
        <v>35</v>
      </c>
    </row>
    <row r="47" spans="1:8" x14ac:dyDescent="0.3">
      <c r="A47" t="s">
        <v>87</v>
      </c>
      <c r="B47" t="s">
        <v>15</v>
      </c>
      <c r="C47" t="s">
        <v>26</v>
      </c>
      <c r="D47" t="s">
        <v>23</v>
      </c>
      <c r="E47">
        <v>97955</v>
      </c>
      <c r="F47" t="s">
        <v>32</v>
      </c>
      <c r="G47">
        <v>9</v>
      </c>
      <c r="H47" t="s">
        <v>13</v>
      </c>
    </row>
    <row r="48" spans="1:8" x14ac:dyDescent="0.3">
      <c r="A48" t="s">
        <v>88</v>
      </c>
      <c r="B48" t="s">
        <v>9</v>
      </c>
      <c r="C48" t="s">
        <v>26</v>
      </c>
      <c r="D48" t="s">
        <v>30</v>
      </c>
      <c r="E48">
        <v>132552</v>
      </c>
      <c r="F48" t="s">
        <v>32</v>
      </c>
      <c r="G48">
        <v>3</v>
      </c>
      <c r="H48" t="s">
        <v>13</v>
      </c>
    </row>
    <row r="49" spans="1:8" x14ac:dyDescent="0.3">
      <c r="A49" t="s">
        <v>89</v>
      </c>
      <c r="B49" t="s">
        <v>50</v>
      </c>
      <c r="C49" t="s">
        <v>10</v>
      </c>
      <c r="D49" t="s">
        <v>45</v>
      </c>
      <c r="E49">
        <v>144247</v>
      </c>
      <c r="F49" t="s">
        <v>12</v>
      </c>
      <c r="G49">
        <v>5</v>
      </c>
      <c r="H49" t="s">
        <v>35</v>
      </c>
    </row>
    <row r="50" spans="1:8" x14ac:dyDescent="0.3">
      <c r="A50" t="s">
        <v>90</v>
      </c>
      <c r="B50" t="s">
        <v>47</v>
      </c>
      <c r="C50" t="s">
        <v>16</v>
      </c>
      <c r="D50" t="s">
        <v>39</v>
      </c>
      <c r="E50">
        <v>80602</v>
      </c>
      <c r="F50" t="s">
        <v>32</v>
      </c>
      <c r="G50">
        <v>15</v>
      </c>
      <c r="H50" t="s">
        <v>19</v>
      </c>
    </row>
    <row r="51" spans="1:8" x14ac:dyDescent="0.3">
      <c r="A51" t="s">
        <v>91</v>
      </c>
      <c r="B51" t="s">
        <v>50</v>
      </c>
      <c r="C51" t="s">
        <v>26</v>
      </c>
      <c r="D51" t="s">
        <v>30</v>
      </c>
      <c r="E51">
        <v>64375</v>
      </c>
      <c r="F51" t="s">
        <v>18</v>
      </c>
      <c r="G51">
        <v>12</v>
      </c>
      <c r="H51" t="s">
        <v>35</v>
      </c>
    </row>
    <row r="52" spans="1:8" x14ac:dyDescent="0.3">
      <c r="A52" t="s">
        <v>92</v>
      </c>
      <c r="B52" t="s">
        <v>41</v>
      </c>
      <c r="C52" t="s">
        <v>22</v>
      </c>
      <c r="D52" t="s">
        <v>27</v>
      </c>
      <c r="E52">
        <v>93079</v>
      </c>
      <c r="F52" t="s">
        <v>32</v>
      </c>
      <c r="G52">
        <v>2</v>
      </c>
      <c r="H52" t="s">
        <v>35</v>
      </c>
    </row>
    <row r="53" spans="1:8" x14ac:dyDescent="0.3">
      <c r="A53" t="s">
        <v>93</v>
      </c>
      <c r="B53" t="s">
        <v>9</v>
      </c>
      <c r="C53" t="s">
        <v>55</v>
      </c>
      <c r="D53" t="s">
        <v>53</v>
      </c>
      <c r="E53">
        <v>74174</v>
      </c>
      <c r="F53" t="s">
        <v>12</v>
      </c>
      <c r="G53">
        <v>6</v>
      </c>
      <c r="H53" t="s">
        <v>35</v>
      </c>
    </row>
    <row r="54" spans="1:8" x14ac:dyDescent="0.3">
      <c r="A54" t="s">
        <v>94</v>
      </c>
      <c r="B54" t="s">
        <v>9</v>
      </c>
      <c r="C54" t="s">
        <v>55</v>
      </c>
      <c r="D54" t="s">
        <v>43</v>
      </c>
      <c r="E54">
        <v>106872</v>
      </c>
      <c r="F54" t="s">
        <v>18</v>
      </c>
      <c r="G54">
        <v>7</v>
      </c>
      <c r="H54" t="s">
        <v>19</v>
      </c>
    </row>
    <row r="55" spans="1:8" x14ac:dyDescent="0.3">
      <c r="A55" t="s">
        <v>95</v>
      </c>
      <c r="B55" t="s">
        <v>25</v>
      </c>
      <c r="C55" t="s">
        <v>26</v>
      </c>
      <c r="D55" t="s">
        <v>17</v>
      </c>
      <c r="E55">
        <v>59148</v>
      </c>
      <c r="F55" t="s">
        <v>32</v>
      </c>
      <c r="G55">
        <v>13</v>
      </c>
      <c r="H55" t="s">
        <v>35</v>
      </c>
    </row>
    <row r="56" spans="1:8" x14ac:dyDescent="0.3">
      <c r="A56" t="s">
        <v>96</v>
      </c>
      <c r="B56" t="s">
        <v>25</v>
      </c>
      <c r="C56" t="s">
        <v>55</v>
      </c>
      <c r="D56" t="s">
        <v>45</v>
      </c>
      <c r="E56">
        <v>36302</v>
      </c>
      <c r="F56" t="s">
        <v>12</v>
      </c>
      <c r="G56">
        <v>4</v>
      </c>
      <c r="H56" t="s">
        <v>13</v>
      </c>
    </row>
    <row r="57" spans="1:8" x14ac:dyDescent="0.3">
      <c r="A57" t="s">
        <v>97</v>
      </c>
      <c r="B57" t="s">
        <v>37</v>
      </c>
      <c r="C57" t="s">
        <v>22</v>
      </c>
      <c r="D57" t="s">
        <v>53</v>
      </c>
      <c r="E57">
        <v>71950</v>
      </c>
      <c r="F57" t="s">
        <v>18</v>
      </c>
      <c r="G57">
        <v>1</v>
      </c>
      <c r="H57" t="s">
        <v>13</v>
      </c>
    </row>
    <row r="58" spans="1:8" x14ac:dyDescent="0.3">
      <c r="A58" t="s">
        <v>98</v>
      </c>
      <c r="B58" t="s">
        <v>34</v>
      </c>
      <c r="C58" t="s">
        <v>42</v>
      </c>
      <c r="D58" t="s">
        <v>43</v>
      </c>
      <c r="E58">
        <v>12545</v>
      </c>
      <c r="F58" t="s">
        <v>18</v>
      </c>
      <c r="G58">
        <v>1</v>
      </c>
      <c r="H58" t="s">
        <v>35</v>
      </c>
    </row>
    <row r="59" spans="1:8" x14ac:dyDescent="0.3">
      <c r="A59" t="s">
        <v>99</v>
      </c>
      <c r="B59" t="s">
        <v>15</v>
      </c>
      <c r="C59" t="s">
        <v>55</v>
      </c>
      <c r="D59" t="s">
        <v>61</v>
      </c>
      <c r="E59">
        <v>48075</v>
      </c>
      <c r="F59" t="s">
        <v>18</v>
      </c>
      <c r="G59">
        <v>12</v>
      </c>
      <c r="H59" t="s">
        <v>35</v>
      </c>
    </row>
    <row r="60" spans="1:8" x14ac:dyDescent="0.3">
      <c r="A60" t="s">
        <v>100</v>
      </c>
      <c r="B60" t="s">
        <v>25</v>
      </c>
      <c r="C60" t="s">
        <v>16</v>
      </c>
      <c r="D60" t="s">
        <v>39</v>
      </c>
      <c r="E60">
        <v>93402</v>
      </c>
      <c r="F60" t="s">
        <v>18</v>
      </c>
      <c r="G60">
        <v>8</v>
      </c>
      <c r="H60" t="s">
        <v>13</v>
      </c>
    </row>
    <row r="61" spans="1:8" x14ac:dyDescent="0.3">
      <c r="A61" t="s">
        <v>101</v>
      </c>
      <c r="B61" t="s">
        <v>37</v>
      </c>
      <c r="C61" t="s">
        <v>42</v>
      </c>
      <c r="D61" t="s">
        <v>27</v>
      </c>
      <c r="E61">
        <v>96974</v>
      </c>
      <c r="F61" t="s">
        <v>32</v>
      </c>
      <c r="G61">
        <v>9</v>
      </c>
      <c r="H61" t="s">
        <v>19</v>
      </c>
    </row>
    <row r="62" spans="1:8" x14ac:dyDescent="0.3">
      <c r="A62" t="s">
        <v>102</v>
      </c>
      <c r="B62" t="s">
        <v>29</v>
      </c>
      <c r="C62" t="s">
        <v>22</v>
      </c>
      <c r="D62" t="s">
        <v>27</v>
      </c>
      <c r="E62">
        <v>62604</v>
      </c>
      <c r="F62" t="s">
        <v>32</v>
      </c>
      <c r="G62">
        <v>3</v>
      </c>
      <c r="H62" t="s">
        <v>13</v>
      </c>
    </row>
    <row r="63" spans="1:8" x14ac:dyDescent="0.3">
      <c r="A63" t="s">
        <v>103</v>
      </c>
      <c r="B63" t="s">
        <v>9</v>
      </c>
      <c r="C63" t="s">
        <v>26</v>
      </c>
      <c r="D63" t="s">
        <v>53</v>
      </c>
      <c r="E63">
        <v>58119</v>
      </c>
      <c r="F63" t="s">
        <v>18</v>
      </c>
      <c r="G63">
        <v>9</v>
      </c>
      <c r="H63" t="s">
        <v>13</v>
      </c>
    </row>
    <row r="64" spans="1:8" x14ac:dyDescent="0.3">
      <c r="A64" t="s">
        <v>104</v>
      </c>
      <c r="B64" t="s">
        <v>50</v>
      </c>
      <c r="C64" t="s">
        <v>10</v>
      </c>
      <c r="D64" t="s">
        <v>23</v>
      </c>
      <c r="E64">
        <v>76692</v>
      </c>
      <c r="F64" t="s">
        <v>18</v>
      </c>
      <c r="G64">
        <v>12</v>
      </c>
      <c r="H64" t="s">
        <v>13</v>
      </c>
    </row>
    <row r="65" spans="1:8" x14ac:dyDescent="0.3">
      <c r="A65" t="s">
        <v>105</v>
      </c>
      <c r="B65" t="s">
        <v>34</v>
      </c>
      <c r="C65" t="s">
        <v>22</v>
      </c>
      <c r="D65" t="s">
        <v>61</v>
      </c>
      <c r="E65">
        <v>122413</v>
      </c>
      <c r="F65" t="s">
        <v>12</v>
      </c>
      <c r="G65">
        <v>11</v>
      </c>
      <c r="H65" t="s">
        <v>19</v>
      </c>
    </row>
    <row r="66" spans="1:8" x14ac:dyDescent="0.3">
      <c r="A66" t="s">
        <v>106</v>
      </c>
      <c r="B66" t="s">
        <v>47</v>
      </c>
      <c r="C66" t="s">
        <v>16</v>
      </c>
      <c r="D66" t="s">
        <v>30</v>
      </c>
      <c r="E66">
        <v>138879</v>
      </c>
      <c r="F66" t="s">
        <v>12</v>
      </c>
      <c r="G66">
        <v>1</v>
      </c>
      <c r="H66" t="s">
        <v>13</v>
      </c>
    </row>
    <row r="67" spans="1:8" x14ac:dyDescent="0.3">
      <c r="A67" t="s">
        <v>107</v>
      </c>
      <c r="B67" t="s">
        <v>47</v>
      </c>
      <c r="C67" t="s">
        <v>26</v>
      </c>
      <c r="D67" t="s">
        <v>27</v>
      </c>
      <c r="E67">
        <v>72195</v>
      </c>
      <c r="F67" t="s">
        <v>18</v>
      </c>
      <c r="G67">
        <v>12</v>
      </c>
      <c r="H67" t="s">
        <v>19</v>
      </c>
    </row>
    <row r="68" spans="1:8" x14ac:dyDescent="0.3">
      <c r="A68" t="s">
        <v>108</v>
      </c>
      <c r="B68" t="s">
        <v>34</v>
      </c>
      <c r="C68" t="s">
        <v>26</v>
      </c>
      <c r="D68" t="s">
        <v>53</v>
      </c>
      <c r="E68">
        <v>29066</v>
      </c>
      <c r="F68" t="s">
        <v>18</v>
      </c>
      <c r="G68">
        <v>13</v>
      </c>
      <c r="H68" t="s">
        <v>13</v>
      </c>
    </row>
    <row r="69" spans="1:8" x14ac:dyDescent="0.3">
      <c r="A69" t="s">
        <v>109</v>
      </c>
      <c r="B69" t="s">
        <v>50</v>
      </c>
      <c r="C69" t="s">
        <v>55</v>
      </c>
      <c r="D69" t="s">
        <v>23</v>
      </c>
      <c r="E69">
        <v>57595</v>
      </c>
      <c r="F69" t="s">
        <v>12</v>
      </c>
      <c r="G69">
        <v>8</v>
      </c>
      <c r="H69" t="s">
        <v>13</v>
      </c>
    </row>
    <row r="70" spans="1:8" x14ac:dyDescent="0.3">
      <c r="A70" t="s">
        <v>110</v>
      </c>
      <c r="B70" t="s">
        <v>34</v>
      </c>
      <c r="C70" t="s">
        <v>55</v>
      </c>
      <c r="D70" t="s">
        <v>43</v>
      </c>
      <c r="E70">
        <v>125056</v>
      </c>
      <c r="F70" t="s">
        <v>18</v>
      </c>
      <c r="G70">
        <v>5</v>
      </c>
      <c r="H70" t="s">
        <v>35</v>
      </c>
    </row>
    <row r="71" spans="1:8" x14ac:dyDescent="0.3">
      <c r="A71" t="s">
        <v>111</v>
      </c>
      <c r="B71" t="s">
        <v>34</v>
      </c>
      <c r="C71" t="s">
        <v>42</v>
      </c>
      <c r="D71" t="s">
        <v>43</v>
      </c>
      <c r="E71">
        <v>83168</v>
      </c>
      <c r="F71" t="s">
        <v>12</v>
      </c>
      <c r="G71">
        <v>3</v>
      </c>
      <c r="H71" t="s">
        <v>35</v>
      </c>
    </row>
    <row r="72" spans="1:8" x14ac:dyDescent="0.3">
      <c r="A72" t="s">
        <v>112</v>
      </c>
      <c r="B72" t="s">
        <v>9</v>
      </c>
      <c r="C72" t="s">
        <v>42</v>
      </c>
      <c r="D72" t="s">
        <v>48</v>
      </c>
      <c r="E72">
        <v>144048</v>
      </c>
      <c r="F72" t="s">
        <v>18</v>
      </c>
      <c r="G72">
        <v>6</v>
      </c>
      <c r="H72" t="s">
        <v>19</v>
      </c>
    </row>
    <row r="73" spans="1:8" x14ac:dyDescent="0.3">
      <c r="A73" t="s">
        <v>113</v>
      </c>
      <c r="B73" t="s">
        <v>21</v>
      </c>
      <c r="C73" t="s">
        <v>26</v>
      </c>
      <c r="D73" t="s">
        <v>17</v>
      </c>
      <c r="E73">
        <v>15638</v>
      </c>
      <c r="F73" t="s">
        <v>18</v>
      </c>
      <c r="G73">
        <v>1</v>
      </c>
      <c r="H73" t="s">
        <v>13</v>
      </c>
    </row>
    <row r="74" spans="1:8" x14ac:dyDescent="0.3">
      <c r="A74" t="s">
        <v>114</v>
      </c>
      <c r="B74" t="s">
        <v>29</v>
      </c>
      <c r="C74" t="s">
        <v>55</v>
      </c>
      <c r="D74" t="s">
        <v>48</v>
      </c>
      <c r="E74">
        <v>96802</v>
      </c>
      <c r="F74" t="s">
        <v>18</v>
      </c>
      <c r="G74">
        <v>0</v>
      </c>
      <c r="H74" t="s">
        <v>19</v>
      </c>
    </row>
    <row r="75" spans="1:8" x14ac:dyDescent="0.3">
      <c r="A75" t="s">
        <v>115</v>
      </c>
      <c r="B75" t="s">
        <v>9</v>
      </c>
      <c r="C75" t="s">
        <v>22</v>
      </c>
      <c r="D75" t="s">
        <v>61</v>
      </c>
      <c r="E75">
        <v>83711</v>
      </c>
      <c r="F75" t="s">
        <v>12</v>
      </c>
      <c r="G75">
        <v>12</v>
      </c>
      <c r="H75" t="s">
        <v>13</v>
      </c>
    </row>
    <row r="76" spans="1:8" x14ac:dyDescent="0.3">
      <c r="A76" t="s">
        <v>116</v>
      </c>
      <c r="B76" t="s">
        <v>25</v>
      </c>
      <c r="C76" t="s">
        <v>22</v>
      </c>
      <c r="D76" t="s">
        <v>85</v>
      </c>
      <c r="E76">
        <v>66322</v>
      </c>
      <c r="F76" t="s">
        <v>32</v>
      </c>
      <c r="G76">
        <v>14</v>
      </c>
      <c r="H76" t="s">
        <v>19</v>
      </c>
    </row>
    <row r="77" spans="1:8" x14ac:dyDescent="0.3">
      <c r="A77" t="s">
        <v>117</v>
      </c>
      <c r="B77" t="s">
        <v>50</v>
      </c>
      <c r="C77" t="s">
        <v>10</v>
      </c>
      <c r="D77" t="s">
        <v>53</v>
      </c>
      <c r="E77">
        <v>46133</v>
      </c>
      <c r="F77" t="s">
        <v>18</v>
      </c>
      <c r="G77">
        <v>5</v>
      </c>
      <c r="H77" t="s">
        <v>13</v>
      </c>
    </row>
    <row r="78" spans="1:8" x14ac:dyDescent="0.3">
      <c r="A78" t="s">
        <v>118</v>
      </c>
      <c r="B78" t="s">
        <v>34</v>
      </c>
      <c r="C78" t="s">
        <v>26</v>
      </c>
      <c r="D78" t="s">
        <v>85</v>
      </c>
      <c r="E78">
        <v>36263</v>
      </c>
      <c r="F78" t="s">
        <v>18</v>
      </c>
      <c r="G78">
        <v>5</v>
      </c>
      <c r="H78" t="s">
        <v>35</v>
      </c>
    </row>
    <row r="79" spans="1:8" x14ac:dyDescent="0.3">
      <c r="A79" t="s">
        <v>119</v>
      </c>
      <c r="B79" t="s">
        <v>47</v>
      </c>
      <c r="C79" t="s">
        <v>10</v>
      </c>
      <c r="D79" t="s">
        <v>43</v>
      </c>
      <c r="E79">
        <v>66781</v>
      </c>
      <c r="F79" t="s">
        <v>32</v>
      </c>
      <c r="G79">
        <v>10</v>
      </c>
      <c r="H79" t="s">
        <v>19</v>
      </c>
    </row>
    <row r="80" spans="1:8" x14ac:dyDescent="0.3">
      <c r="A80" t="s">
        <v>120</v>
      </c>
      <c r="B80" t="s">
        <v>50</v>
      </c>
      <c r="C80" t="s">
        <v>26</v>
      </c>
      <c r="D80" t="s">
        <v>43</v>
      </c>
      <c r="E80">
        <v>77929</v>
      </c>
      <c r="F80" t="s">
        <v>18</v>
      </c>
      <c r="G80">
        <v>9</v>
      </c>
      <c r="H80" t="s">
        <v>13</v>
      </c>
    </row>
    <row r="81" spans="1:8" x14ac:dyDescent="0.3">
      <c r="A81" t="s">
        <v>121</v>
      </c>
      <c r="B81" t="s">
        <v>47</v>
      </c>
      <c r="C81" t="s">
        <v>55</v>
      </c>
      <c r="D81" t="s">
        <v>48</v>
      </c>
      <c r="E81">
        <v>97329</v>
      </c>
      <c r="F81" t="s">
        <v>18</v>
      </c>
      <c r="G81">
        <v>6</v>
      </c>
      <c r="H81" t="s">
        <v>19</v>
      </c>
    </row>
    <row r="82" spans="1:8" x14ac:dyDescent="0.3">
      <c r="A82" t="s">
        <v>122</v>
      </c>
      <c r="B82" t="s">
        <v>34</v>
      </c>
      <c r="C82" t="s">
        <v>55</v>
      </c>
      <c r="D82" t="s">
        <v>45</v>
      </c>
      <c r="E82">
        <v>120557</v>
      </c>
      <c r="F82" t="s">
        <v>12</v>
      </c>
      <c r="G82">
        <v>0</v>
      </c>
      <c r="H82" t="s">
        <v>13</v>
      </c>
    </row>
    <row r="83" spans="1:8" x14ac:dyDescent="0.3">
      <c r="A83" t="s">
        <v>123</v>
      </c>
      <c r="B83" t="s">
        <v>37</v>
      </c>
      <c r="C83" t="s">
        <v>16</v>
      </c>
      <c r="D83" t="s">
        <v>27</v>
      </c>
      <c r="E83">
        <v>13000</v>
      </c>
      <c r="F83" t="s">
        <v>18</v>
      </c>
      <c r="G83">
        <v>14</v>
      </c>
      <c r="H83" t="s">
        <v>13</v>
      </c>
    </row>
    <row r="84" spans="1:8" x14ac:dyDescent="0.3">
      <c r="A84" t="s">
        <v>124</v>
      </c>
      <c r="B84" t="s">
        <v>29</v>
      </c>
      <c r="C84" t="s">
        <v>16</v>
      </c>
      <c r="D84" t="s">
        <v>30</v>
      </c>
      <c r="E84">
        <v>126614</v>
      </c>
      <c r="F84" t="s">
        <v>12</v>
      </c>
      <c r="G84">
        <v>4</v>
      </c>
      <c r="H84" t="s">
        <v>13</v>
      </c>
    </row>
    <row r="85" spans="1:8" x14ac:dyDescent="0.3">
      <c r="A85" t="s">
        <v>125</v>
      </c>
      <c r="B85" t="s">
        <v>9</v>
      </c>
      <c r="C85" t="s">
        <v>22</v>
      </c>
      <c r="D85" t="s">
        <v>11</v>
      </c>
      <c r="E85">
        <v>24598</v>
      </c>
      <c r="F85" t="s">
        <v>32</v>
      </c>
      <c r="G85">
        <v>6</v>
      </c>
      <c r="H85" t="s">
        <v>13</v>
      </c>
    </row>
    <row r="86" spans="1:8" x14ac:dyDescent="0.3">
      <c r="A86" t="s">
        <v>126</v>
      </c>
      <c r="B86" t="s">
        <v>15</v>
      </c>
      <c r="C86" t="s">
        <v>26</v>
      </c>
      <c r="D86" t="s">
        <v>53</v>
      </c>
      <c r="E86">
        <v>68219</v>
      </c>
      <c r="F86" t="s">
        <v>12</v>
      </c>
      <c r="G86">
        <v>7</v>
      </c>
      <c r="H86" t="s">
        <v>35</v>
      </c>
    </row>
    <row r="87" spans="1:8" x14ac:dyDescent="0.3">
      <c r="A87" t="s">
        <v>127</v>
      </c>
      <c r="B87" t="s">
        <v>37</v>
      </c>
      <c r="C87" t="s">
        <v>22</v>
      </c>
      <c r="D87" t="s">
        <v>23</v>
      </c>
      <c r="E87">
        <v>82962</v>
      </c>
      <c r="F87" t="s">
        <v>12</v>
      </c>
      <c r="G87">
        <v>7</v>
      </c>
      <c r="H87" t="s">
        <v>19</v>
      </c>
    </row>
    <row r="88" spans="1:8" x14ac:dyDescent="0.3">
      <c r="A88" t="s">
        <v>128</v>
      </c>
      <c r="B88" t="s">
        <v>50</v>
      </c>
      <c r="C88" t="s">
        <v>55</v>
      </c>
      <c r="D88" t="s">
        <v>27</v>
      </c>
      <c r="E88">
        <v>56454</v>
      </c>
      <c r="F88" t="s">
        <v>32</v>
      </c>
      <c r="G88">
        <v>7</v>
      </c>
      <c r="H88" t="s">
        <v>35</v>
      </c>
    </row>
    <row r="89" spans="1:8" x14ac:dyDescent="0.3">
      <c r="A89" t="s">
        <v>129</v>
      </c>
      <c r="B89" t="s">
        <v>34</v>
      </c>
      <c r="C89" t="s">
        <v>55</v>
      </c>
      <c r="D89" t="s">
        <v>43</v>
      </c>
      <c r="E89">
        <v>70667</v>
      </c>
      <c r="F89" t="s">
        <v>32</v>
      </c>
      <c r="G89">
        <v>4</v>
      </c>
      <c r="H89" t="s">
        <v>13</v>
      </c>
    </row>
    <row r="90" spans="1:8" x14ac:dyDescent="0.3">
      <c r="A90" t="s">
        <v>130</v>
      </c>
      <c r="B90" t="s">
        <v>41</v>
      </c>
      <c r="C90" t="s">
        <v>26</v>
      </c>
      <c r="D90" t="s">
        <v>45</v>
      </c>
      <c r="E90">
        <v>43756</v>
      </c>
      <c r="F90" t="s">
        <v>32</v>
      </c>
      <c r="G90">
        <v>7</v>
      </c>
      <c r="H90" t="s">
        <v>13</v>
      </c>
    </row>
    <row r="91" spans="1:8" x14ac:dyDescent="0.3">
      <c r="A91" t="s">
        <v>131</v>
      </c>
      <c r="B91" t="s">
        <v>41</v>
      </c>
      <c r="C91" t="s">
        <v>55</v>
      </c>
      <c r="D91" t="s">
        <v>11</v>
      </c>
      <c r="E91">
        <v>22230</v>
      </c>
      <c r="F91" t="s">
        <v>18</v>
      </c>
      <c r="G91">
        <v>5</v>
      </c>
      <c r="H91" t="s">
        <v>19</v>
      </c>
    </row>
    <row r="92" spans="1:8" x14ac:dyDescent="0.3">
      <c r="A92" t="s">
        <v>132</v>
      </c>
      <c r="B92" t="s">
        <v>21</v>
      </c>
      <c r="C92" t="s">
        <v>10</v>
      </c>
      <c r="D92" t="s">
        <v>61</v>
      </c>
      <c r="E92">
        <v>64314</v>
      </c>
      <c r="F92" t="s">
        <v>18</v>
      </c>
      <c r="G92">
        <v>5</v>
      </c>
      <c r="H92" t="s">
        <v>13</v>
      </c>
    </row>
    <row r="93" spans="1:8" x14ac:dyDescent="0.3">
      <c r="A93" t="s">
        <v>133</v>
      </c>
      <c r="B93" t="s">
        <v>21</v>
      </c>
      <c r="C93" t="s">
        <v>22</v>
      </c>
      <c r="D93" t="s">
        <v>30</v>
      </c>
      <c r="E93">
        <v>149239</v>
      </c>
      <c r="F93" t="s">
        <v>32</v>
      </c>
      <c r="G93">
        <v>11</v>
      </c>
      <c r="H93" t="s">
        <v>13</v>
      </c>
    </row>
    <row r="94" spans="1:8" x14ac:dyDescent="0.3">
      <c r="A94" t="s">
        <v>134</v>
      </c>
      <c r="B94" t="s">
        <v>29</v>
      </c>
      <c r="C94" t="s">
        <v>10</v>
      </c>
      <c r="D94" t="s">
        <v>45</v>
      </c>
      <c r="E94">
        <v>79101</v>
      </c>
      <c r="F94" t="s">
        <v>12</v>
      </c>
      <c r="G94">
        <v>11</v>
      </c>
      <c r="H94" t="s">
        <v>19</v>
      </c>
    </row>
    <row r="95" spans="1:8" x14ac:dyDescent="0.3">
      <c r="A95" t="s">
        <v>135</v>
      </c>
      <c r="B95" t="s">
        <v>34</v>
      </c>
      <c r="C95" t="s">
        <v>55</v>
      </c>
      <c r="D95" t="s">
        <v>39</v>
      </c>
      <c r="E95">
        <v>104022</v>
      </c>
      <c r="F95" t="s">
        <v>18</v>
      </c>
      <c r="G95">
        <v>14</v>
      </c>
      <c r="H95" t="s">
        <v>19</v>
      </c>
    </row>
    <row r="96" spans="1:8" x14ac:dyDescent="0.3">
      <c r="A96" t="s">
        <v>136</v>
      </c>
      <c r="B96" t="s">
        <v>15</v>
      </c>
      <c r="C96" t="s">
        <v>16</v>
      </c>
      <c r="D96" t="s">
        <v>23</v>
      </c>
      <c r="E96">
        <v>10674</v>
      </c>
      <c r="F96" t="s">
        <v>12</v>
      </c>
      <c r="G96">
        <v>14</v>
      </c>
      <c r="H96" t="s">
        <v>13</v>
      </c>
    </row>
    <row r="97" spans="1:8" x14ac:dyDescent="0.3">
      <c r="A97" t="s">
        <v>137</v>
      </c>
      <c r="B97" t="s">
        <v>25</v>
      </c>
      <c r="C97" t="s">
        <v>42</v>
      </c>
      <c r="D97" t="s">
        <v>85</v>
      </c>
      <c r="E97">
        <v>99770</v>
      </c>
      <c r="F97" t="s">
        <v>32</v>
      </c>
      <c r="G97">
        <v>7</v>
      </c>
      <c r="H97" t="s">
        <v>19</v>
      </c>
    </row>
    <row r="98" spans="1:8" x14ac:dyDescent="0.3">
      <c r="A98" t="s">
        <v>138</v>
      </c>
      <c r="B98" t="s">
        <v>21</v>
      </c>
      <c r="C98" t="s">
        <v>10</v>
      </c>
      <c r="D98" t="s">
        <v>30</v>
      </c>
      <c r="E98">
        <v>22880</v>
      </c>
      <c r="F98" t="s">
        <v>18</v>
      </c>
      <c r="G98">
        <v>4</v>
      </c>
      <c r="H98" t="s">
        <v>35</v>
      </c>
    </row>
    <row r="99" spans="1:8" x14ac:dyDescent="0.3">
      <c r="A99" t="s">
        <v>139</v>
      </c>
      <c r="B99" t="s">
        <v>34</v>
      </c>
      <c r="C99" t="s">
        <v>26</v>
      </c>
      <c r="D99" t="s">
        <v>39</v>
      </c>
      <c r="E99">
        <v>124638</v>
      </c>
      <c r="F99" t="s">
        <v>32</v>
      </c>
      <c r="G99">
        <v>3</v>
      </c>
      <c r="H99" t="s">
        <v>19</v>
      </c>
    </row>
    <row r="100" spans="1:8" x14ac:dyDescent="0.3">
      <c r="A100" t="s">
        <v>140</v>
      </c>
      <c r="B100" t="s">
        <v>25</v>
      </c>
      <c r="C100" t="s">
        <v>55</v>
      </c>
      <c r="D100" t="s">
        <v>11</v>
      </c>
      <c r="E100">
        <v>92870</v>
      </c>
      <c r="F100" t="s">
        <v>18</v>
      </c>
      <c r="G100">
        <v>2</v>
      </c>
      <c r="H100" t="s">
        <v>13</v>
      </c>
    </row>
    <row r="101" spans="1:8" x14ac:dyDescent="0.3">
      <c r="A101" t="s">
        <v>141</v>
      </c>
      <c r="B101" t="s">
        <v>21</v>
      </c>
      <c r="C101" t="s">
        <v>55</v>
      </c>
      <c r="D101" t="s">
        <v>43</v>
      </c>
      <c r="E101">
        <v>62880</v>
      </c>
      <c r="F101" t="s">
        <v>18</v>
      </c>
      <c r="G101">
        <v>8</v>
      </c>
      <c r="H101" t="s">
        <v>13</v>
      </c>
    </row>
    <row r="102" spans="1:8" x14ac:dyDescent="0.3">
      <c r="A102" t="s">
        <v>142</v>
      </c>
      <c r="B102" t="s">
        <v>25</v>
      </c>
      <c r="C102" t="s">
        <v>55</v>
      </c>
      <c r="D102" t="s">
        <v>61</v>
      </c>
      <c r="E102">
        <v>93315</v>
      </c>
      <c r="F102" t="s">
        <v>12</v>
      </c>
      <c r="G102">
        <v>2</v>
      </c>
      <c r="H102" t="s">
        <v>13</v>
      </c>
    </row>
    <row r="103" spans="1:8" x14ac:dyDescent="0.3">
      <c r="A103" t="s">
        <v>143</v>
      </c>
      <c r="B103" t="s">
        <v>47</v>
      </c>
      <c r="C103" t="s">
        <v>55</v>
      </c>
      <c r="D103" t="s">
        <v>85</v>
      </c>
      <c r="E103">
        <v>138248</v>
      </c>
      <c r="F103" t="s">
        <v>32</v>
      </c>
      <c r="G103">
        <v>8</v>
      </c>
      <c r="H103" t="s">
        <v>19</v>
      </c>
    </row>
    <row r="104" spans="1:8" x14ac:dyDescent="0.3">
      <c r="A104" t="s">
        <v>144</v>
      </c>
      <c r="B104" t="s">
        <v>21</v>
      </c>
      <c r="C104" t="s">
        <v>10</v>
      </c>
      <c r="D104" t="s">
        <v>85</v>
      </c>
      <c r="E104">
        <v>94664</v>
      </c>
      <c r="F104" t="s">
        <v>32</v>
      </c>
      <c r="G104">
        <v>1</v>
      </c>
      <c r="H104" t="s">
        <v>13</v>
      </c>
    </row>
    <row r="105" spans="1:8" x14ac:dyDescent="0.3">
      <c r="A105" t="s">
        <v>145</v>
      </c>
      <c r="B105" t="s">
        <v>15</v>
      </c>
      <c r="C105" t="s">
        <v>26</v>
      </c>
      <c r="D105" t="s">
        <v>43</v>
      </c>
      <c r="E105">
        <v>96326</v>
      </c>
      <c r="F105" t="s">
        <v>32</v>
      </c>
      <c r="G105">
        <v>5</v>
      </c>
      <c r="H105" t="s">
        <v>19</v>
      </c>
    </row>
    <row r="106" spans="1:8" x14ac:dyDescent="0.3">
      <c r="A106" t="s">
        <v>146</v>
      </c>
      <c r="B106" t="s">
        <v>21</v>
      </c>
      <c r="C106" t="s">
        <v>26</v>
      </c>
      <c r="D106" t="s">
        <v>27</v>
      </c>
      <c r="E106">
        <v>105604</v>
      </c>
      <c r="F106" t="s">
        <v>18</v>
      </c>
      <c r="G106">
        <v>8</v>
      </c>
      <c r="H106" t="s">
        <v>13</v>
      </c>
    </row>
    <row r="107" spans="1:8" x14ac:dyDescent="0.3">
      <c r="A107" t="s">
        <v>147</v>
      </c>
      <c r="B107" t="s">
        <v>15</v>
      </c>
      <c r="C107" t="s">
        <v>42</v>
      </c>
      <c r="D107" t="s">
        <v>61</v>
      </c>
      <c r="E107">
        <v>126322</v>
      </c>
      <c r="F107" t="s">
        <v>32</v>
      </c>
      <c r="G107">
        <v>5</v>
      </c>
      <c r="H107" t="s">
        <v>35</v>
      </c>
    </row>
    <row r="108" spans="1:8" x14ac:dyDescent="0.3">
      <c r="A108" t="s">
        <v>148</v>
      </c>
      <c r="B108" t="s">
        <v>15</v>
      </c>
      <c r="C108" t="s">
        <v>55</v>
      </c>
      <c r="D108" t="s">
        <v>11</v>
      </c>
      <c r="E108">
        <v>61019</v>
      </c>
      <c r="F108" t="s">
        <v>32</v>
      </c>
      <c r="G108">
        <v>2</v>
      </c>
      <c r="H108" t="s">
        <v>13</v>
      </c>
    </row>
    <row r="109" spans="1:8" x14ac:dyDescent="0.3">
      <c r="A109" t="s">
        <v>149</v>
      </c>
      <c r="B109" t="s">
        <v>21</v>
      </c>
      <c r="C109" t="s">
        <v>26</v>
      </c>
      <c r="D109" t="s">
        <v>11</v>
      </c>
      <c r="E109">
        <v>87860</v>
      </c>
      <c r="F109" t="s">
        <v>18</v>
      </c>
      <c r="G109">
        <v>1</v>
      </c>
      <c r="H109" t="s">
        <v>19</v>
      </c>
    </row>
    <row r="110" spans="1:8" x14ac:dyDescent="0.3">
      <c r="A110" t="s">
        <v>150</v>
      </c>
      <c r="B110" t="s">
        <v>34</v>
      </c>
      <c r="C110" t="s">
        <v>26</v>
      </c>
      <c r="D110" t="s">
        <v>48</v>
      </c>
      <c r="E110">
        <v>32535</v>
      </c>
      <c r="F110" t="s">
        <v>12</v>
      </c>
      <c r="G110">
        <v>8</v>
      </c>
      <c r="H110" t="s">
        <v>35</v>
      </c>
    </row>
    <row r="111" spans="1:8" x14ac:dyDescent="0.3">
      <c r="A111" t="s">
        <v>151</v>
      </c>
      <c r="B111" t="s">
        <v>37</v>
      </c>
      <c r="C111" t="s">
        <v>10</v>
      </c>
      <c r="D111" t="s">
        <v>45</v>
      </c>
      <c r="E111">
        <v>85746</v>
      </c>
      <c r="F111" t="s">
        <v>18</v>
      </c>
      <c r="G111">
        <v>10</v>
      </c>
      <c r="H111" t="s">
        <v>19</v>
      </c>
    </row>
    <row r="112" spans="1:8" x14ac:dyDescent="0.3">
      <c r="A112" t="s">
        <v>152</v>
      </c>
      <c r="B112" t="s">
        <v>25</v>
      </c>
      <c r="C112" t="s">
        <v>22</v>
      </c>
      <c r="D112" t="s">
        <v>43</v>
      </c>
      <c r="E112">
        <v>46237</v>
      </c>
      <c r="F112" t="s">
        <v>32</v>
      </c>
      <c r="G112">
        <v>2</v>
      </c>
      <c r="H112" t="s">
        <v>19</v>
      </c>
    </row>
    <row r="113" spans="1:8" x14ac:dyDescent="0.3">
      <c r="A113" t="s">
        <v>153</v>
      </c>
      <c r="B113" t="s">
        <v>9</v>
      </c>
      <c r="C113" t="s">
        <v>16</v>
      </c>
      <c r="D113" t="s">
        <v>43</v>
      </c>
      <c r="E113">
        <v>105615</v>
      </c>
      <c r="F113" t="s">
        <v>32</v>
      </c>
      <c r="G113">
        <v>5</v>
      </c>
      <c r="H113" t="s">
        <v>13</v>
      </c>
    </row>
    <row r="114" spans="1:8" x14ac:dyDescent="0.3">
      <c r="A114" t="s">
        <v>154</v>
      </c>
      <c r="B114" t="s">
        <v>41</v>
      </c>
      <c r="C114" t="s">
        <v>55</v>
      </c>
      <c r="D114" t="s">
        <v>85</v>
      </c>
      <c r="E114">
        <v>105675</v>
      </c>
      <c r="F114" t="s">
        <v>32</v>
      </c>
      <c r="G114">
        <v>7</v>
      </c>
      <c r="H114" t="s">
        <v>13</v>
      </c>
    </row>
    <row r="115" spans="1:8" x14ac:dyDescent="0.3">
      <c r="A115" t="s">
        <v>155</v>
      </c>
      <c r="B115" t="s">
        <v>47</v>
      </c>
      <c r="C115" t="s">
        <v>55</v>
      </c>
      <c r="D115" t="s">
        <v>45</v>
      </c>
      <c r="E115">
        <v>87933</v>
      </c>
      <c r="F115" t="s">
        <v>32</v>
      </c>
      <c r="G115">
        <v>8</v>
      </c>
      <c r="H115" t="s">
        <v>13</v>
      </c>
    </row>
    <row r="116" spans="1:8" x14ac:dyDescent="0.3">
      <c r="A116" t="s">
        <v>156</v>
      </c>
      <c r="B116" t="s">
        <v>21</v>
      </c>
      <c r="C116" t="s">
        <v>16</v>
      </c>
      <c r="D116" t="s">
        <v>39</v>
      </c>
      <c r="E116">
        <v>105066</v>
      </c>
      <c r="F116" t="s">
        <v>32</v>
      </c>
      <c r="G116">
        <v>6</v>
      </c>
      <c r="H116" t="s">
        <v>13</v>
      </c>
    </row>
    <row r="117" spans="1:8" x14ac:dyDescent="0.3">
      <c r="A117" t="s">
        <v>157</v>
      </c>
      <c r="B117" t="s">
        <v>47</v>
      </c>
      <c r="C117" t="s">
        <v>55</v>
      </c>
      <c r="D117" t="s">
        <v>43</v>
      </c>
      <c r="E117">
        <v>131965</v>
      </c>
      <c r="F117" t="s">
        <v>12</v>
      </c>
      <c r="G117">
        <v>10</v>
      </c>
      <c r="H117" t="s">
        <v>35</v>
      </c>
    </row>
    <row r="118" spans="1:8" x14ac:dyDescent="0.3">
      <c r="A118" t="s">
        <v>158</v>
      </c>
      <c r="B118" t="s">
        <v>41</v>
      </c>
      <c r="C118" t="s">
        <v>10</v>
      </c>
      <c r="D118" t="s">
        <v>45</v>
      </c>
      <c r="E118">
        <v>78497</v>
      </c>
      <c r="F118" t="s">
        <v>18</v>
      </c>
      <c r="G118">
        <v>13</v>
      </c>
      <c r="H118" t="s">
        <v>19</v>
      </c>
    </row>
    <row r="119" spans="1:8" x14ac:dyDescent="0.3">
      <c r="A119" t="s">
        <v>159</v>
      </c>
      <c r="B119" t="s">
        <v>25</v>
      </c>
      <c r="C119" t="s">
        <v>42</v>
      </c>
      <c r="D119" t="s">
        <v>27</v>
      </c>
      <c r="E119">
        <v>89198</v>
      </c>
      <c r="F119" t="s">
        <v>32</v>
      </c>
      <c r="G119">
        <v>2</v>
      </c>
      <c r="H119" t="s">
        <v>35</v>
      </c>
    </row>
    <row r="120" spans="1:8" x14ac:dyDescent="0.3">
      <c r="A120" t="s">
        <v>160</v>
      </c>
      <c r="B120" t="s">
        <v>37</v>
      </c>
      <c r="C120" t="s">
        <v>55</v>
      </c>
      <c r="D120" t="s">
        <v>53</v>
      </c>
      <c r="E120">
        <v>41929</v>
      </c>
      <c r="F120" t="s">
        <v>18</v>
      </c>
      <c r="G120">
        <v>0</v>
      </c>
      <c r="H120" t="s">
        <v>19</v>
      </c>
    </row>
    <row r="121" spans="1:8" x14ac:dyDescent="0.3">
      <c r="A121" t="s">
        <v>161</v>
      </c>
      <c r="B121" t="s">
        <v>25</v>
      </c>
      <c r="C121" t="s">
        <v>26</v>
      </c>
      <c r="D121" t="s">
        <v>43</v>
      </c>
      <c r="E121">
        <v>126031</v>
      </c>
      <c r="F121" t="s">
        <v>32</v>
      </c>
      <c r="G121">
        <v>2</v>
      </c>
      <c r="H121" t="s">
        <v>13</v>
      </c>
    </row>
    <row r="122" spans="1:8" x14ac:dyDescent="0.3">
      <c r="A122" t="s">
        <v>162</v>
      </c>
      <c r="B122" t="s">
        <v>25</v>
      </c>
      <c r="C122" t="s">
        <v>42</v>
      </c>
      <c r="D122" t="s">
        <v>23</v>
      </c>
      <c r="E122">
        <v>11516</v>
      </c>
      <c r="F122" t="s">
        <v>12</v>
      </c>
      <c r="G122">
        <v>1</v>
      </c>
      <c r="H122" t="s">
        <v>19</v>
      </c>
    </row>
    <row r="123" spans="1:8" x14ac:dyDescent="0.3">
      <c r="A123" t="s">
        <v>163</v>
      </c>
      <c r="B123" t="s">
        <v>21</v>
      </c>
      <c r="C123" t="s">
        <v>42</v>
      </c>
      <c r="D123" t="s">
        <v>17</v>
      </c>
      <c r="E123">
        <v>140361</v>
      </c>
      <c r="F123" t="s">
        <v>18</v>
      </c>
      <c r="G123">
        <v>10</v>
      </c>
      <c r="H123" t="s">
        <v>13</v>
      </c>
    </row>
    <row r="124" spans="1:8" x14ac:dyDescent="0.3">
      <c r="A124" t="s">
        <v>164</v>
      </c>
      <c r="B124" t="s">
        <v>37</v>
      </c>
      <c r="C124" t="s">
        <v>55</v>
      </c>
      <c r="D124" t="s">
        <v>11</v>
      </c>
      <c r="E124">
        <v>84774</v>
      </c>
      <c r="F124" t="s">
        <v>12</v>
      </c>
      <c r="G124">
        <v>11</v>
      </c>
      <c r="H124" t="s">
        <v>13</v>
      </c>
    </row>
    <row r="125" spans="1:8" x14ac:dyDescent="0.3">
      <c r="A125" t="s">
        <v>165</v>
      </c>
      <c r="B125" t="s">
        <v>29</v>
      </c>
      <c r="C125" t="s">
        <v>16</v>
      </c>
      <c r="D125" t="s">
        <v>43</v>
      </c>
      <c r="E125">
        <v>78376</v>
      </c>
      <c r="F125" t="s">
        <v>32</v>
      </c>
      <c r="G125">
        <v>4</v>
      </c>
      <c r="H125" t="s">
        <v>13</v>
      </c>
    </row>
    <row r="126" spans="1:8" x14ac:dyDescent="0.3">
      <c r="A126" t="s">
        <v>166</v>
      </c>
      <c r="B126" t="s">
        <v>50</v>
      </c>
      <c r="C126" t="s">
        <v>10</v>
      </c>
      <c r="D126" t="s">
        <v>39</v>
      </c>
      <c r="E126">
        <v>138569</v>
      </c>
      <c r="F126" t="s">
        <v>32</v>
      </c>
      <c r="G126">
        <v>5</v>
      </c>
      <c r="H126" t="s">
        <v>13</v>
      </c>
    </row>
    <row r="127" spans="1:8" x14ac:dyDescent="0.3">
      <c r="A127" t="s">
        <v>167</v>
      </c>
      <c r="B127" t="s">
        <v>15</v>
      </c>
      <c r="C127" t="s">
        <v>16</v>
      </c>
      <c r="D127" t="s">
        <v>53</v>
      </c>
      <c r="E127">
        <v>32577</v>
      </c>
      <c r="F127" t="s">
        <v>32</v>
      </c>
      <c r="G127">
        <v>10</v>
      </c>
      <c r="H127" t="s">
        <v>35</v>
      </c>
    </row>
    <row r="128" spans="1:8" x14ac:dyDescent="0.3">
      <c r="A128" t="s">
        <v>168</v>
      </c>
      <c r="B128" t="s">
        <v>9</v>
      </c>
      <c r="C128" t="s">
        <v>26</v>
      </c>
      <c r="D128" t="s">
        <v>30</v>
      </c>
      <c r="E128">
        <v>68410</v>
      </c>
      <c r="F128" t="s">
        <v>12</v>
      </c>
      <c r="G128">
        <v>14</v>
      </c>
      <c r="H128" t="s">
        <v>35</v>
      </c>
    </row>
    <row r="129" spans="1:8" x14ac:dyDescent="0.3">
      <c r="A129" t="s">
        <v>169</v>
      </c>
      <c r="B129" t="s">
        <v>9</v>
      </c>
      <c r="C129" t="s">
        <v>22</v>
      </c>
      <c r="D129" t="s">
        <v>23</v>
      </c>
      <c r="E129">
        <v>139731</v>
      </c>
      <c r="F129" t="s">
        <v>18</v>
      </c>
      <c r="G129">
        <v>6</v>
      </c>
      <c r="H129" t="s">
        <v>19</v>
      </c>
    </row>
    <row r="130" spans="1:8" x14ac:dyDescent="0.3">
      <c r="A130" t="s">
        <v>170</v>
      </c>
      <c r="B130" t="s">
        <v>34</v>
      </c>
      <c r="C130" t="s">
        <v>16</v>
      </c>
      <c r="D130" t="s">
        <v>17</v>
      </c>
      <c r="E130">
        <v>79101</v>
      </c>
      <c r="F130" t="s">
        <v>32</v>
      </c>
      <c r="G130">
        <v>3</v>
      </c>
      <c r="H130" t="s">
        <v>35</v>
      </c>
    </row>
    <row r="131" spans="1:8" x14ac:dyDescent="0.3">
      <c r="A131" t="s">
        <v>171</v>
      </c>
      <c r="B131" t="s">
        <v>50</v>
      </c>
      <c r="C131" t="s">
        <v>22</v>
      </c>
      <c r="D131" t="s">
        <v>45</v>
      </c>
      <c r="E131">
        <v>95281</v>
      </c>
      <c r="F131" t="s">
        <v>18</v>
      </c>
      <c r="G131">
        <v>8</v>
      </c>
      <c r="H131" t="s">
        <v>13</v>
      </c>
    </row>
    <row r="132" spans="1:8" x14ac:dyDescent="0.3">
      <c r="A132" t="s">
        <v>172</v>
      </c>
      <c r="B132" t="s">
        <v>41</v>
      </c>
      <c r="C132" t="s">
        <v>26</v>
      </c>
      <c r="D132" t="s">
        <v>11</v>
      </c>
      <c r="E132">
        <v>139472</v>
      </c>
      <c r="F132" t="s">
        <v>12</v>
      </c>
      <c r="G132">
        <v>7</v>
      </c>
      <c r="H132" t="s">
        <v>13</v>
      </c>
    </row>
    <row r="133" spans="1:8" x14ac:dyDescent="0.3">
      <c r="A133" t="s">
        <v>173</v>
      </c>
      <c r="B133" t="s">
        <v>15</v>
      </c>
      <c r="C133" t="s">
        <v>55</v>
      </c>
      <c r="D133" t="s">
        <v>30</v>
      </c>
      <c r="E133">
        <v>134150</v>
      </c>
      <c r="F133" t="s">
        <v>12</v>
      </c>
      <c r="G133">
        <v>8</v>
      </c>
      <c r="H133" t="s">
        <v>19</v>
      </c>
    </row>
    <row r="134" spans="1:8" x14ac:dyDescent="0.3">
      <c r="A134" t="s">
        <v>174</v>
      </c>
      <c r="B134" t="s">
        <v>9</v>
      </c>
      <c r="C134" t="s">
        <v>55</v>
      </c>
      <c r="D134" t="s">
        <v>45</v>
      </c>
      <c r="E134">
        <v>113776</v>
      </c>
      <c r="F134" t="s">
        <v>32</v>
      </c>
      <c r="G134">
        <v>5</v>
      </c>
      <c r="H134" t="s">
        <v>19</v>
      </c>
    </row>
    <row r="135" spans="1:8" x14ac:dyDescent="0.3">
      <c r="A135" t="s">
        <v>175</v>
      </c>
      <c r="B135" t="s">
        <v>21</v>
      </c>
      <c r="C135" t="s">
        <v>10</v>
      </c>
      <c r="D135" t="s">
        <v>43</v>
      </c>
      <c r="E135">
        <v>110582</v>
      </c>
      <c r="F135" t="s">
        <v>32</v>
      </c>
      <c r="G135">
        <v>2</v>
      </c>
      <c r="H135" t="s">
        <v>13</v>
      </c>
    </row>
    <row r="136" spans="1:8" x14ac:dyDescent="0.3">
      <c r="A136" t="s">
        <v>176</v>
      </c>
      <c r="B136" t="s">
        <v>37</v>
      </c>
      <c r="C136" t="s">
        <v>26</v>
      </c>
      <c r="D136" t="s">
        <v>45</v>
      </c>
      <c r="E136">
        <v>110916</v>
      </c>
      <c r="F136" t="s">
        <v>32</v>
      </c>
      <c r="G136">
        <v>10</v>
      </c>
      <c r="H136" t="s">
        <v>19</v>
      </c>
    </row>
    <row r="137" spans="1:8" x14ac:dyDescent="0.3">
      <c r="A137" t="s">
        <v>177</v>
      </c>
      <c r="B137" t="s">
        <v>37</v>
      </c>
      <c r="C137" t="s">
        <v>42</v>
      </c>
      <c r="D137" t="s">
        <v>27</v>
      </c>
      <c r="E137">
        <v>93307</v>
      </c>
      <c r="F137" t="s">
        <v>12</v>
      </c>
      <c r="G137">
        <v>1</v>
      </c>
      <c r="H137" t="s">
        <v>19</v>
      </c>
    </row>
    <row r="138" spans="1:8" x14ac:dyDescent="0.3">
      <c r="A138" t="s">
        <v>178</v>
      </c>
      <c r="B138" t="s">
        <v>37</v>
      </c>
      <c r="C138" t="s">
        <v>42</v>
      </c>
      <c r="D138" t="s">
        <v>85</v>
      </c>
      <c r="E138">
        <v>85961</v>
      </c>
      <c r="F138" t="s">
        <v>32</v>
      </c>
      <c r="G138">
        <v>14</v>
      </c>
      <c r="H138" t="s">
        <v>35</v>
      </c>
    </row>
    <row r="139" spans="1:8" x14ac:dyDescent="0.3">
      <c r="A139" t="s">
        <v>179</v>
      </c>
      <c r="B139" t="s">
        <v>29</v>
      </c>
      <c r="C139" t="s">
        <v>55</v>
      </c>
      <c r="D139" t="s">
        <v>85</v>
      </c>
      <c r="E139">
        <v>61048</v>
      </c>
      <c r="F139" t="s">
        <v>32</v>
      </c>
      <c r="G139">
        <v>3</v>
      </c>
      <c r="H139" t="s">
        <v>19</v>
      </c>
    </row>
    <row r="140" spans="1:8" x14ac:dyDescent="0.3">
      <c r="A140" t="s">
        <v>180</v>
      </c>
      <c r="B140" t="s">
        <v>37</v>
      </c>
      <c r="C140" t="s">
        <v>26</v>
      </c>
      <c r="D140" t="s">
        <v>53</v>
      </c>
      <c r="E140">
        <v>39991</v>
      </c>
      <c r="F140" t="s">
        <v>12</v>
      </c>
      <c r="G140">
        <v>0</v>
      </c>
      <c r="H140" t="s">
        <v>35</v>
      </c>
    </row>
    <row r="141" spans="1:8" x14ac:dyDescent="0.3">
      <c r="A141" t="s">
        <v>181</v>
      </c>
      <c r="B141" t="s">
        <v>50</v>
      </c>
      <c r="C141" t="s">
        <v>55</v>
      </c>
      <c r="D141" t="s">
        <v>85</v>
      </c>
      <c r="E141">
        <v>128063</v>
      </c>
      <c r="F141" t="s">
        <v>18</v>
      </c>
      <c r="G141">
        <v>1</v>
      </c>
      <c r="H141" t="s">
        <v>13</v>
      </c>
    </row>
    <row r="142" spans="1:8" x14ac:dyDescent="0.3">
      <c r="A142" t="s">
        <v>182</v>
      </c>
      <c r="B142" t="s">
        <v>15</v>
      </c>
      <c r="C142" t="s">
        <v>16</v>
      </c>
      <c r="D142" t="s">
        <v>61</v>
      </c>
      <c r="E142">
        <v>79095</v>
      </c>
      <c r="F142" t="s">
        <v>18</v>
      </c>
      <c r="G142">
        <v>14</v>
      </c>
      <c r="H142" t="s">
        <v>35</v>
      </c>
    </row>
    <row r="143" spans="1:8" x14ac:dyDescent="0.3">
      <c r="A143" t="s">
        <v>183</v>
      </c>
      <c r="B143" t="s">
        <v>34</v>
      </c>
      <c r="C143" t="s">
        <v>16</v>
      </c>
      <c r="D143" t="s">
        <v>61</v>
      </c>
      <c r="E143">
        <v>28341</v>
      </c>
      <c r="F143" t="s">
        <v>32</v>
      </c>
      <c r="G143">
        <v>13</v>
      </c>
      <c r="H143" t="s">
        <v>35</v>
      </c>
    </row>
    <row r="144" spans="1:8" x14ac:dyDescent="0.3">
      <c r="A144" t="s">
        <v>184</v>
      </c>
      <c r="B144" t="s">
        <v>50</v>
      </c>
      <c r="C144" t="s">
        <v>16</v>
      </c>
      <c r="D144" t="s">
        <v>48</v>
      </c>
      <c r="E144">
        <v>137741</v>
      </c>
      <c r="F144" t="s">
        <v>12</v>
      </c>
      <c r="G144">
        <v>5</v>
      </c>
      <c r="H144" t="s">
        <v>19</v>
      </c>
    </row>
    <row r="145" spans="1:8" x14ac:dyDescent="0.3">
      <c r="A145" t="s">
        <v>185</v>
      </c>
      <c r="B145" t="s">
        <v>25</v>
      </c>
      <c r="C145" t="s">
        <v>22</v>
      </c>
      <c r="D145" t="s">
        <v>27</v>
      </c>
      <c r="E145">
        <v>21203</v>
      </c>
      <c r="F145" t="s">
        <v>32</v>
      </c>
      <c r="G145">
        <v>12</v>
      </c>
      <c r="H145" t="s">
        <v>19</v>
      </c>
    </row>
    <row r="146" spans="1:8" x14ac:dyDescent="0.3">
      <c r="A146" t="s">
        <v>186</v>
      </c>
      <c r="B146" t="s">
        <v>21</v>
      </c>
      <c r="C146" t="s">
        <v>22</v>
      </c>
      <c r="D146" t="s">
        <v>48</v>
      </c>
      <c r="E146">
        <v>29767</v>
      </c>
      <c r="F146" t="s">
        <v>32</v>
      </c>
      <c r="G146">
        <v>3</v>
      </c>
      <c r="H146" t="s">
        <v>35</v>
      </c>
    </row>
    <row r="147" spans="1:8" x14ac:dyDescent="0.3">
      <c r="A147" t="s">
        <v>187</v>
      </c>
      <c r="B147" t="s">
        <v>50</v>
      </c>
      <c r="C147" t="s">
        <v>42</v>
      </c>
      <c r="D147" t="s">
        <v>45</v>
      </c>
      <c r="E147">
        <v>19312</v>
      </c>
      <c r="F147" t="s">
        <v>18</v>
      </c>
      <c r="G147">
        <v>5</v>
      </c>
      <c r="H147" t="s">
        <v>35</v>
      </c>
    </row>
    <row r="148" spans="1:8" x14ac:dyDescent="0.3">
      <c r="A148" t="s">
        <v>188</v>
      </c>
      <c r="B148" t="s">
        <v>9</v>
      </c>
      <c r="C148" t="s">
        <v>55</v>
      </c>
      <c r="D148" t="s">
        <v>85</v>
      </c>
      <c r="E148">
        <v>63055</v>
      </c>
      <c r="F148" t="s">
        <v>18</v>
      </c>
      <c r="G148">
        <v>10</v>
      </c>
      <c r="H148" t="s">
        <v>19</v>
      </c>
    </row>
    <row r="149" spans="1:8" x14ac:dyDescent="0.3">
      <c r="A149" t="s">
        <v>189</v>
      </c>
      <c r="B149" t="s">
        <v>37</v>
      </c>
      <c r="C149" t="s">
        <v>22</v>
      </c>
      <c r="D149" t="s">
        <v>39</v>
      </c>
      <c r="E149">
        <v>97824</v>
      </c>
      <c r="F149" t="s">
        <v>18</v>
      </c>
      <c r="G149">
        <v>0</v>
      </c>
      <c r="H149" t="s">
        <v>13</v>
      </c>
    </row>
    <row r="150" spans="1:8" x14ac:dyDescent="0.3">
      <c r="A150" t="s">
        <v>190</v>
      </c>
      <c r="B150" t="s">
        <v>15</v>
      </c>
      <c r="C150" t="s">
        <v>16</v>
      </c>
      <c r="D150" t="s">
        <v>30</v>
      </c>
      <c r="E150">
        <v>47451</v>
      </c>
      <c r="F150" t="s">
        <v>12</v>
      </c>
      <c r="G150">
        <v>5</v>
      </c>
      <c r="H150" t="s">
        <v>35</v>
      </c>
    </row>
    <row r="151" spans="1:8" x14ac:dyDescent="0.3">
      <c r="A151" t="s">
        <v>191</v>
      </c>
      <c r="B151" t="s">
        <v>41</v>
      </c>
      <c r="C151" t="s">
        <v>26</v>
      </c>
      <c r="D151" t="s">
        <v>17</v>
      </c>
      <c r="E151">
        <v>146054</v>
      </c>
      <c r="F151" t="s">
        <v>32</v>
      </c>
      <c r="G151">
        <v>8</v>
      </c>
      <c r="H151" t="s">
        <v>13</v>
      </c>
    </row>
    <row r="152" spans="1:8" x14ac:dyDescent="0.3">
      <c r="A152" t="s">
        <v>192</v>
      </c>
      <c r="B152" t="s">
        <v>47</v>
      </c>
      <c r="C152" t="s">
        <v>16</v>
      </c>
      <c r="D152" t="s">
        <v>53</v>
      </c>
      <c r="E152">
        <v>44154</v>
      </c>
      <c r="F152" t="s">
        <v>32</v>
      </c>
      <c r="G152">
        <v>9</v>
      </c>
      <c r="H152" t="s">
        <v>19</v>
      </c>
    </row>
    <row r="153" spans="1:8" x14ac:dyDescent="0.3">
      <c r="A153" t="s">
        <v>193</v>
      </c>
      <c r="B153" t="s">
        <v>34</v>
      </c>
      <c r="C153" t="s">
        <v>16</v>
      </c>
      <c r="D153" t="s">
        <v>39</v>
      </c>
      <c r="E153">
        <v>127328</v>
      </c>
      <c r="F153" t="s">
        <v>12</v>
      </c>
      <c r="G153">
        <v>0</v>
      </c>
      <c r="H153" t="s">
        <v>35</v>
      </c>
    </row>
    <row r="154" spans="1:8" x14ac:dyDescent="0.3">
      <c r="A154" t="s">
        <v>194</v>
      </c>
      <c r="B154" t="s">
        <v>29</v>
      </c>
      <c r="C154" t="s">
        <v>16</v>
      </c>
      <c r="D154" t="s">
        <v>27</v>
      </c>
      <c r="E154">
        <v>148102</v>
      </c>
      <c r="F154" t="s">
        <v>32</v>
      </c>
      <c r="G154">
        <v>10</v>
      </c>
      <c r="H154" t="s">
        <v>19</v>
      </c>
    </row>
    <row r="155" spans="1:8" x14ac:dyDescent="0.3">
      <c r="A155" t="s">
        <v>195</v>
      </c>
      <c r="B155" t="s">
        <v>15</v>
      </c>
      <c r="C155" t="s">
        <v>26</v>
      </c>
      <c r="D155" t="s">
        <v>48</v>
      </c>
      <c r="E155">
        <v>92138</v>
      </c>
      <c r="F155" t="s">
        <v>32</v>
      </c>
      <c r="G155">
        <v>12</v>
      </c>
      <c r="H155" t="s">
        <v>19</v>
      </c>
    </row>
    <row r="156" spans="1:8" x14ac:dyDescent="0.3">
      <c r="A156" t="s">
        <v>196</v>
      </c>
      <c r="B156" t="s">
        <v>41</v>
      </c>
      <c r="C156" t="s">
        <v>55</v>
      </c>
      <c r="D156" t="s">
        <v>48</v>
      </c>
      <c r="E156">
        <v>14516</v>
      </c>
      <c r="F156" t="s">
        <v>18</v>
      </c>
      <c r="G156">
        <v>10</v>
      </c>
      <c r="H156" t="s">
        <v>35</v>
      </c>
    </row>
    <row r="157" spans="1:8" x14ac:dyDescent="0.3">
      <c r="A157" t="s">
        <v>197</v>
      </c>
      <c r="B157" t="s">
        <v>21</v>
      </c>
      <c r="C157" t="s">
        <v>26</v>
      </c>
      <c r="D157" t="s">
        <v>30</v>
      </c>
      <c r="E157">
        <v>58586</v>
      </c>
      <c r="F157" t="s">
        <v>32</v>
      </c>
      <c r="G157">
        <v>6</v>
      </c>
      <c r="H157" t="s">
        <v>19</v>
      </c>
    </row>
    <row r="158" spans="1:8" x14ac:dyDescent="0.3">
      <c r="A158" t="s">
        <v>198</v>
      </c>
      <c r="B158" t="s">
        <v>50</v>
      </c>
      <c r="C158" t="s">
        <v>16</v>
      </c>
      <c r="D158" t="s">
        <v>53</v>
      </c>
      <c r="E158">
        <v>78309</v>
      </c>
      <c r="F158" t="s">
        <v>12</v>
      </c>
      <c r="G158">
        <v>10</v>
      </c>
      <c r="H158" t="s">
        <v>19</v>
      </c>
    </row>
    <row r="159" spans="1:8" x14ac:dyDescent="0.3">
      <c r="A159" t="s">
        <v>199</v>
      </c>
      <c r="B159" t="s">
        <v>50</v>
      </c>
      <c r="C159" t="s">
        <v>10</v>
      </c>
      <c r="D159" t="s">
        <v>85</v>
      </c>
      <c r="E159">
        <v>76061</v>
      </c>
      <c r="F159" t="s">
        <v>18</v>
      </c>
      <c r="G159">
        <v>15</v>
      </c>
      <c r="H159" t="s">
        <v>35</v>
      </c>
    </row>
    <row r="160" spans="1:8" x14ac:dyDescent="0.3">
      <c r="A160" t="s">
        <v>200</v>
      </c>
      <c r="B160" t="s">
        <v>41</v>
      </c>
      <c r="C160" t="s">
        <v>26</v>
      </c>
      <c r="D160" t="s">
        <v>30</v>
      </c>
      <c r="E160">
        <v>133197</v>
      </c>
      <c r="F160" t="s">
        <v>12</v>
      </c>
      <c r="G160">
        <v>2</v>
      </c>
      <c r="H160" t="s">
        <v>19</v>
      </c>
    </row>
    <row r="161" spans="1:8" x14ac:dyDescent="0.3">
      <c r="A161" t="s">
        <v>201</v>
      </c>
      <c r="B161" t="s">
        <v>41</v>
      </c>
      <c r="C161" t="s">
        <v>22</v>
      </c>
      <c r="D161" t="s">
        <v>53</v>
      </c>
      <c r="E161">
        <v>24609</v>
      </c>
      <c r="F161" t="s">
        <v>12</v>
      </c>
      <c r="G161">
        <v>12</v>
      </c>
      <c r="H161" t="s">
        <v>19</v>
      </c>
    </row>
    <row r="162" spans="1:8" x14ac:dyDescent="0.3">
      <c r="A162" t="s">
        <v>202</v>
      </c>
      <c r="B162" t="s">
        <v>34</v>
      </c>
      <c r="C162" t="s">
        <v>16</v>
      </c>
      <c r="D162" t="s">
        <v>48</v>
      </c>
      <c r="E162">
        <v>43125</v>
      </c>
      <c r="F162" t="s">
        <v>32</v>
      </c>
      <c r="G162">
        <v>6</v>
      </c>
      <c r="H162" t="s">
        <v>13</v>
      </c>
    </row>
    <row r="163" spans="1:8" x14ac:dyDescent="0.3">
      <c r="A163" t="s">
        <v>203</v>
      </c>
      <c r="B163" t="s">
        <v>21</v>
      </c>
      <c r="C163" t="s">
        <v>22</v>
      </c>
      <c r="D163" t="s">
        <v>48</v>
      </c>
      <c r="E163">
        <v>127738</v>
      </c>
      <c r="F163" t="s">
        <v>18</v>
      </c>
      <c r="G163">
        <v>10</v>
      </c>
      <c r="H163" t="s">
        <v>35</v>
      </c>
    </row>
    <row r="164" spans="1:8" x14ac:dyDescent="0.3">
      <c r="A164" t="s">
        <v>204</v>
      </c>
      <c r="B164" t="s">
        <v>25</v>
      </c>
      <c r="C164" t="s">
        <v>22</v>
      </c>
      <c r="D164" t="s">
        <v>85</v>
      </c>
      <c r="E164">
        <v>71947</v>
      </c>
      <c r="F164" t="s">
        <v>32</v>
      </c>
      <c r="G164">
        <v>1</v>
      </c>
      <c r="H164" t="s">
        <v>35</v>
      </c>
    </row>
    <row r="165" spans="1:8" x14ac:dyDescent="0.3">
      <c r="A165" t="s">
        <v>205</v>
      </c>
      <c r="B165" t="s">
        <v>34</v>
      </c>
      <c r="C165" t="s">
        <v>16</v>
      </c>
      <c r="D165" t="s">
        <v>30</v>
      </c>
      <c r="E165">
        <v>97503</v>
      </c>
      <c r="F165" t="s">
        <v>12</v>
      </c>
      <c r="G165">
        <v>7</v>
      </c>
      <c r="H165" t="s">
        <v>35</v>
      </c>
    </row>
    <row r="166" spans="1:8" x14ac:dyDescent="0.3">
      <c r="A166" t="s">
        <v>206</v>
      </c>
      <c r="B166" t="s">
        <v>25</v>
      </c>
      <c r="C166" t="s">
        <v>22</v>
      </c>
      <c r="D166" t="s">
        <v>27</v>
      </c>
      <c r="E166">
        <v>59911</v>
      </c>
      <c r="F166" t="s">
        <v>32</v>
      </c>
      <c r="G166">
        <v>15</v>
      </c>
      <c r="H166" t="s">
        <v>35</v>
      </c>
    </row>
    <row r="167" spans="1:8" x14ac:dyDescent="0.3">
      <c r="A167" t="s">
        <v>207</v>
      </c>
      <c r="B167" t="s">
        <v>34</v>
      </c>
      <c r="C167" t="s">
        <v>26</v>
      </c>
      <c r="D167" t="s">
        <v>11</v>
      </c>
      <c r="E167">
        <v>34172</v>
      </c>
      <c r="F167" t="s">
        <v>12</v>
      </c>
      <c r="G167">
        <v>11</v>
      </c>
      <c r="H167" t="s">
        <v>19</v>
      </c>
    </row>
    <row r="168" spans="1:8" x14ac:dyDescent="0.3">
      <c r="A168" t="s">
        <v>208</v>
      </c>
      <c r="B168" t="s">
        <v>50</v>
      </c>
      <c r="C168" t="s">
        <v>10</v>
      </c>
      <c r="D168" t="s">
        <v>61</v>
      </c>
      <c r="E168">
        <v>61090</v>
      </c>
      <c r="F168" t="s">
        <v>12</v>
      </c>
      <c r="G168">
        <v>9</v>
      </c>
      <c r="H168" t="s">
        <v>19</v>
      </c>
    </row>
    <row r="169" spans="1:8" x14ac:dyDescent="0.3">
      <c r="A169" t="s">
        <v>209</v>
      </c>
      <c r="B169" t="s">
        <v>34</v>
      </c>
      <c r="C169" t="s">
        <v>55</v>
      </c>
      <c r="D169" t="s">
        <v>85</v>
      </c>
      <c r="E169">
        <v>100750</v>
      </c>
      <c r="F169" t="s">
        <v>12</v>
      </c>
      <c r="G169">
        <v>10</v>
      </c>
      <c r="H169" t="s">
        <v>35</v>
      </c>
    </row>
    <row r="170" spans="1:8" x14ac:dyDescent="0.3">
      <c r="A170" t="s">
        <v>210</v>
      </c>
      <c r="B170" t="s">
        <v>47</v>
      </c>
      <c r="C170" t="s">
        <v>42</v>
      </c>
      <c r="D170" t="s">
        <v>45</v>
      </c>
      <c r="E170">
        <v>33806</v>
      </c>
      <c r="F170" t="s">
        <v>12</v>
      </c>
      <c r="G170">
        <v>3</v>
      </c>
      <c r="H170" t="s">
        <v>13</v>
      </c>
    </row>
    <row r="171" spans="1:8" x14ac:dyDescent="0.3">
      <c r="A171" t="s">
        <v>211</v>
      </c>
      <c r="B171" t="s">
        <v>34</v>
      </c>
      <c r="C171" t="s">
        <v>42</v>
      </c>
      <c r="D171" t="s">
        <v>43</v>
      </c>
      <c r="E171">
        <v>97352</v>
      </c>
      <c r="F171" t="s">
        <v>32</v>
      </c>
      <c r="G171">
        <v>13</v>
      </c>
      <c r="H171" t="s">
        <v>35</v>
      </c>
    </row>
    <row r="172" spans="1:8" x14ac:dyDescent="0.3">
      <c r="A172" t="s">
        <v>212</v>
      </c>
      <c r="B172" t="s">
        <v>37</v>
      </c>
      <c r="C172" t="s">
        <v>26</v>
      </c>
      <c r="D172" t="s">
        <v>45</v>
      </c>
      <c r="E172">
        <v>78965</v>
      </c>
      <c r="F172" t="s">
        <v>18</v>
      </c>
      <c r="G172">
        <v>2</v>
      </c>
      <c r="H172" t="s">
        <v>35</v>
      </c>
    </row>
    <row r="173" spans="1:8" x14ac:dyDescent="0.3">
      <c r="A173" t="s">
        <v>213</v>
      </c>
      <c r="B173" t="s">
        <v>50</v>
      </c>
      <c r="C173" t="s">
        <v>26</v>
      </c>
      <c r="D173" t="s">
        <v>43</v>
      </c>
      <c r="E173">
        <v>78944</v>
      </c>
      <c r="F173" t="s">
        <v>12</v>
      </c>
      <c r="G173">
        <v>4</v>
      </c>
      <c r="H173" t="s">
        <v>13</v>
      </c>
    </row>
    <row r="174" spans="1:8" x14ac:dyDescent="0.3">
      <c r="A174" t="s">
        <v>214</v>
      </c>
      <c r="B174" t="s">
        <v>25</v>
      </c>
      <c r="C174" t="s">
        <v>22</v>
      </c>
      <c r="D174" t="s">
        <v>39</v>
      </c>
      <c r="E174">
        <v>29428</v>
      </c>
      <c r="F174" t="s">
        <v>18</v>
      </c>
      <c r="G174">
        <v>3</v>
      </c>
      <c r="H174" t="s">
        <v>35</v>
      </c>
    </row>
    <row r="175" spans="1:8" x14ac:dyDescent="0.3">
      <c r="A175" t="s">
        <v>215</v>
      </c>
      <c r="B175" t="s">
        <v>50</v>
      </c>
      <c r="C175" t="s">
        <v>42</v>
      </c>
      <c r="D175" t="s">
        <v>39</v>
      </c>
      <c r="E175">
        <v>10724</v>
      </c>
      <c r="F175" t="s">
        <v>18</v>
      </c>
      <c r="G175">
        <v>12</v>
      </c>
      <c r="H175" t="s">
        <v>13</v>
      </c>
    </row>
    <row r="176" spans="1:8" x14ac:dyDescent="0.3">
      <c r="A176" t="s">
        <v>216</v>
      </c>
      <c r="B176" t="s">
        <v>9</v>
      </c>
      <c r="C176" t="s">
        <v>22</v>
      </c>
      <c r="D176" t="s">
        <v>39</v>
      </c>
      <c r="E176">
        <v>14619</v>
      </c>
      <c r="F176" t="s">
        <v>32</v>
      </c>
      <c r="G176">
        <v>4</v>
      </c>
      <c r="H176" t="s">
        <v>35</v>
      </c>
    </row>
    <row r="177" spans="1:8" x14ac:dyDescent="0.3">
      <c r="A177" t="s">
        <v>217</v>
      </c>
      <c r="B177" t="s">
        <v>15</v>
      </c>
      <c r="C177" t="s">
        <v>10</v>
      </c>
      <c r="D177" t="s">
        <v>30</v>
      </c>
      <c r="E177">
        <v>68292</v>
      </c>
      <c r="F177" t="s">
        <v>12</v>
      </c>
      <c r="G177">
        <v>13</v>
      </c>
      <c r="H177" t="s">
        <v>19</v>
      </c>
    </row>
    <row r="178" spans="1:8" x14ac:dyDescent="0.3">
      <c r="A178" t="s">
        <v>218</v>
      </c>
      <c r="B178" t="s">
        <v>47</v>
      </c>
      <c r="C178" t="s">
        <v>26</v>
      </c>
      <c r="D178" t="s">
        <v>27</v>
      </c>
      <c r="E178">
        <v>89001</v>
      </c>
      <c r="F178" t="s">
        <v>32</v>
      </c>
      <c r="G178">
        <v>13</v>
      </c>
      <c r="H178" t="s">
        <v>19</v>
      </c>
    </row>
    <row r="179" spans="1:8" x14ac:dyDescent="0.3">
      <c r="A179" t="s">
        <v>219</v>
      </c>
      <c r="B179" t="s">
        <v>29</v>
      </c>
      <c r="C179" t="s">
        <v>55</v>
      </c>
      <c r="D179" t="s">
        <v>53</v>
      </c>
      <c r="E179">
        <v>121722</v>
      </c>
      <c r="F179" t="s">
        <v>32</v>
      </c>
      <c r="G179">
        <v>8</v>
      </c>
      <c r="H179" t="s">
        <v>13</v>
      </c>
    </row>
    <row r="180" spans="1:8" x14ac:dyDescent="0.3">
      <c r="A180" t="s">
        <v>220</v>
      </c>
      <c r="B180" t="s">
        <v>47</v>
      </c>
      <c r="C180" t="s">
        <v>10</v>
      </c>
      <c r="D180" t="s">
        <v>39</v>
      </c>
      <c r="E180">
        <v>56398</v>
      </c>
      <c r="F180" t="s">
        <v>32</v>
      </c>
      <c r="G180">
        <v>8</v>
      </c>
      <c r="H180" t="s">
        <v>35</v>
      </c>
    </row>
    <row r="181" spans="1:8" x14ac:dyDescent="0.3">
      <c r="A181" t="s">
        <v>221</v>
      </c>
      <c r="B181" t="s">
        <v>29</v>
      </c>
      <c r="C181" t="s">
        <v>55</v>
      </c>
      <c r="D181" t="s">
        <v>61</v>
      </c>
      <c r="E181">
        <v>36983</v>
      </c>
      <c r="F181" t="s">
        <v>12</v>
      </c>
      <c r="G181">
        <v>15</v>
      </c>
      <c r="H181" t="s">
        <v>35</v>
      </c>
    </row>
    <row r="182" spans="1:8" x14ac:dyDescent="0.3">
      <c r="A182" t="s">
        <v>222</v>
      </c>
      <c r="B182" t="s">
        <v>41</v>
      </c>
      <c r="C182" t="s">
        <v>16</v>
      </c>
      <c r="D182" t="s">
        <v>23</v>
      </c>
      <c r="E182">
        <v>14030</v>
      </c>
      <c r="F182" t="s">
        <v>12</v>
      </c>
      <c r="G182">
        <v>12</v>
      </c>
      <c r="H182" t="s">
        <v>35</v>
      </c>
    </row>
    <row r="183" spans="1:8" x14ac:dyDescent="0.3">
      <c r="A183" t="s">
        <v>223</v>
      </c>
      <c r="B183" t="s">
        <v>25</v>
      </c>
      <c r="C183" t="s">
        <v>10</v>
      </c>
      <c r="D183" t="s">
        <v>85</v>
      </c>
      <c r="E183">
        <v>87321</v>
      </c>
      <c r="F183" t="s">
        <v>32</v>
      </c>
      <c r="G183">
        <v>13</v>
      </c>
      <c r="H183" t="s">
        <v>35</v>
      </c>
    </row>
    <row r="184" spans="1:8" x14ac:dyDescent="0.3">
      <c r="A184" t="s">
        <v>224</v>
      </c>
      <c r="B184" t="s">
        <v>29</v>
      </c>
      <c r="C184" t="s">
        <v>10</v>
      </c>
      <c r="D184" t="s">
        <v>11</v>
      </c>
      <c r="E184">
        <v>29569</v>
      </c>
      <c r="F184" t="s">
        <v>18</v>
      </c>
      <c r="G184">
        <v>0</v>
      </c>
      <c r="H184" t="s">
        <v>19</v>
      </c>
    </row>
    <row r="185" spans="1:8" x14ac:dyDescent="0.3">
      <c r="A185" t="s">
        <v>225</v>
      </c>
      <c r="B185" t="s">
        <v>47</v>
      </c>
      <c r="C185" t="s">
        <v>22</v>
      </c>
      <c r="D185" t="s">
        <v>43</v>
      </c>
      <c r="E185">
        <v>28295</v>
      </c>
      <c r="F185" t="s">
        <v>18</v>
      </c>
      <c r="G185">
        <v>12</v>
      </c>
      <c r="H185" t="s">
        <v>35</v>
      </c>
    </row>
    <row r="186" spans="1:8" x14ac:dyDescent="0.3">
      <c r="A186" t="s">
        <v>226</v>
      </c>
      <c r="B186" t="s">
        <v>47</v>
      </c>
      <c r="C186" t="s">
        <v>55</v>
      </c>
      <c r="D186" t="s">
        <v>23</v>
      </c>
      <c r="E186">
        <v>24840</v>
      </c>
      <c r="F186" t="s">
        <v>18</v>
      </c>
      <c r="G186">
        <v>1</v>
      </c>
      <c r="H186" t="s">
        <v>35</v>
      </c>
    </row>
    <row r="187" spans="1:8" x14ac:dyDescent="0.3">
      <c r="A187" t="s">
        <v>227</v>
      </c>
      <c r="B187" t="s">
        <v>47</v>
      </c>
      <c r="C187" t="s">
        <v>16</v>
      </c>
      <c r="D187" t="s">
        <v>17</v>
      </c>
      <c r="E187">
        <v>148570</v>
      </c>
      <c r="F187" t="s">
        <v>18</v>
      </c>
      <c r="G187">
        <v>5</v>
      </c>
      <c r="H187" t="s">
        <v>35</v>
      </c>
    </row>
    <row r="188" spans="1:8" x14ac:dyDescent="0.3">
      <c r="A188" t="s">
        <v>228</v>
      </c>
      <c r="B188" t="s">
        <v>50</v>
      </c>
      <c r="C188" t="s">
        <v>42</v>
      </c>
      <c r="D188" t="s">
        <v>30</v>
      </c>
      <c r="E188">
        <v>11798</v>
      </c>
      <c r="F188" t="s">
        <v>12</v>
      </c>
      <c r="G188">
        <v>2</v>
      </c>
      <c r="H188" t="s">
        <v>35</v>
      </c>
    </row>
    <row r="189" spans="1:8" x14ac:dyDescent="0.3">
      <c r="A189" t="s">
        <v>229</v>
      </c>
      <c r="B189" t="s">
        <v>50</v>
      </c>
      <c r="C189" t="s">
        <v>55</v>
      </c>
      <c r="D189" t="s">
        <v>39</v>
      </c>
      <c r="E189">
        <v>95409</v>
      </c>
      <c r="F189" t="s">
        <v>12</v>
      </c>
      <c r="G189">
        <v>10</v>
      </c>
      <c r="H189" t="s">
        <v>19</v>
      </c>
    </row>
    <row r="190" spans="1:8" x14ac:dyDescent="0.3">
      <c r="A190" t="s">
        <v>230</v>
      </c>
      <c r="B190" t="s">
        <v>29</v>
      </c>
      <c r="C190" t="s">
        <v>42</v>
      </c>
      <c r="D190" t="s">
        <v>11</v>
      </c>
      <c r="E190">
        <v>72677</v>
      </c>
      <c r="F190" t="s">
        <v>12</v>
      </c>
      <c r="G190">
        <v>13</v>
      </c>
      <c r="H190" t="s">
        <v>19</v>
      </c>
    </row>
    <row r="191" spans="1:8" x14ac:dyDescent="0.3">
      <c r="A191" t="s">
        <v>231</v>
      </c>
      <c r="B191" t="s">
        <v>41</v>
      </c>
      <c r="C191" t="s">
        <v>55</v>
      </c>
      <c r="D191" t="s">
        <v>43</v>
      </c>
      <c r="E191">
        <v>139731</v>
      </c>
      <c r="F191" t="s">
        <v>12</v>
      </c>
      <c r="G191">
        <v>4</v>
      </c>
      <c r="H191" t="s">
        <v>13</v>
      </c>
    </row>
    <row r="192" spans="1:8" x14ac:dyDescent="0.3">
      <c r="A192" t="s">
        <v>232</v>
      </c>
      <c r="B192" t="s">
        <v>50</v>
      </c>
      <c r="C192" t="s">
        <v>26</v>
      </c>
      <c r="D192" t="s">
        <v>11</v>
      </c>
      <c r="E192">
        <v>26401</v>
      </c>
      <c r="F192" t="s">
        <v>18</v>
      </c>
      <c r="G192">
        <v>8</v>
      </c>
      <c r="H192" t="s">
        <v>19</v>
      </c>
    </row>
    <row r="193" spans="1:8" x14ac:dyDescent="0.3">
      <c r="A193" t="s">
        <v>233</v>
      </c>
      <c r="B193" t="s">
        <v>25</v>
      </c>
      <c r="C193" t="s">
        <v>22</v>
      </c>
      <c r="D193" t="s">
        <v>23</v>
      </c>
      <c r="E193">
        <v>112586</v>
      </c>
      <c r="F193" t="s">
        <v>18</v>
      </c>
      <c r="G193">
        <v>5</v>
      </c>
      <c r="H193" t="s">
        <v>19</v>
      </c>
    </row>
    <row r="194" spans="1:8" x14ac:dyDescent="0.3">
      <c r="A194" t="s">
        <v>234</v>
      </c>
      <c r="B194" t="s">
        <v>47</v>
      </c>
      <c r="C194" t="s">
        <v>22</v>
      </c>
      <c r="D194" t="s">
        <v>85</v>
      </c>
      <c r="E194">
        <v>104445</v>
      </c>
      <c r="F194" t="s">
        <v>32</v>
      </c>
      <c r="G194">
        <v>10</v>
      </c>
      <c r="H194" t="s">
        <v>19</v>
      </c>
    </row>
    <row r="195" spans="1:8" x14ac:dyDescent="0.3">
      <c r="A195" t="s">
        <v>235</v>
      </c>
      <c r="B195" t="s">
        <v>29</v>
      </c>
      <c r="C195" t="s">
        <v>16</v>
      </c>
      <c r="D195" t="s">
        <v>85</v>
      </c>
      <c r="E195">
        <v>64783</v>
      </c>
      <c r="F195" t="s">
        <v>18</v>
      </c>
      <c r="G195">
        <v>3</v>
      </c>
      <c r="H195" t="s">
        <v>13</v>
      </c>
    </row>
    <row r="196" spans="1:8" x14ac:dyDescent="0.3">
      <c r="A196" t="s">
        <v>236</v>
      </c>
      <c r="B196" t="s">
        <v>29</v>
      </c>
      <c r="C196" t="s">
        <v>16</v>
      </c>
      <c r="D196" t="s">
        <v>27</v>
      </c>
      <c r="E196">
        <v>82970</v>
      </c>
      <c r="F196" t="s">
        <v>32</v>
      </c>
      <c r="G196">
        <v>13</v>
      </c>
      <c r="H196" t="s">
        <v>35</v>
      </c>
    </row>
    <row r="197" spans="1:8" x14ac:dyDescent="0.3">
      <c r="A197" t="s">
        <v>237</v>
      </c>
      <c r="B197" t="s">
        <v>29</v>
      </c>
      <c r="C197" t="s">
        <v>22</v>
      </c>
      <c r="D197" t="s">
        <v>30</v>
      </c>
      <c r="E197">
        <v>49512</v>
      </c>
      <c r="F197" t="s">
        <v>12</v>
      </c>
      <c r="G197">
        <v>10</v>
      </c>
      <c r="H197" t="s">
        <v>19</v>
      </c>
    </row>
    <row r="198" spans="1:8" x14ac:dyDescent="0.3">
      <c r="A198" t="s">
        <v>238</v>
      </c>
      <c r="B198" t="s">
        <v>25</v>
      </c>
      <c r="C198" t="s">
        <v>16</v>
      </c>
      <c r="D198" t="s">
        <v>53</v>
      </c>
      <c r="E198">
        <v>46438</v>
      </c>
      <c r="F198" t="s">
        <v>18</v>
      </c>
      <c r="G198">
        <v>12</v>
      </c>
      <c r="H198" t="s">
        <v>13</v>
      </c>
    </row>
    <row r="199" spans="1:8" x14ac:dyDescent="0.3">
      <c r="A199" t="s">
        <v>239</v>
      </c>
      <c r="B199" t="s">
        <v>29</v>
      </c>
      <c r="C199" t="s">
        <v>16</v>
      </c>
      <c r="D199" t="s">
        <v>39</v>
      </c>
      <c r="E199">
        <v>57477</v>
      </c>
      <c r="F199" t="s">
        <v>32</v>
      </c>
      <c r="G199">
        <v>11</v>
      </c>
      <c r="H199" t="s">
        <v>35</v>
      </c>
    </row>
    <row r="200" spans="1:8" x14ac:dyDescent="0.3">
      <c r="A200" t="s">
        <v>240</v>
      </c>
      <c r="B200" t="s">
        <v>50</v>
      </c>
      <c r="C200" t="s">
        <v>22</v>
      </c>
      <c r="D200" t="s">
        <v>17</v>
      </c>
      <c r="E200">
        <v>64885</v>
      </c>
      <c r="F200" t="s">
        <v>12</v>
      </c>
      <c r="G200">
        <v>14</v>
      </c>
      <c r="H200" t="s">
        <v>35</v>
      </c>
    </row>
    <row r="201" spans="1:8" x14ac:dyDescent="0.3">
      <c r="A201" t="s">
        <v>241</v>
      </c>
      <c r="B201" t="s">
        <v>15</v>
      </c>
      <c r="C201" t="s">
        <v>10</v>
      </c>
      <c r="D201" t="s">
        <v>30</v>
      </c>
      <c r="E201">
        <v>55307</v>
      </c>
      <c r="F201" t="s">
        <v>12</v>
      </c>
      <c r="G201">
        <v>5</v>
      </c>
      <c r="H201" t="s">
        <v>35</v>
      </c>
    </row>
    <row r="202" spans="1:8" x14ac:dyDescent="0.3">
      <c r="A202" t="s">
        <v>242</v>
      </c>
      <c r="B202" t="s">
        <v>29</v>
      </c>
      <c r="C202" t="s">
        <v>16</v>
      </c>
      <c r="D202" t="s">
        <v>11</v>
      </c>
      <c r="E202">
        <v>17995</v>
      </c>
      <c r="F202" t="s">
        <v>12</v>
      </c>
      <c r="G202">
        <v>7</v>
      </c>
      <c r="H202" t="s">
        <v>13</v>
      </c>
    </row>
    <row r="203" spans="1:8" x14ac:dyDescent="0.3">
      <c r="A203" t="s">
        <v>243</v>
      </c>
      <c r="B203" t="s">
        <v>29</v>
      </c>
      <c r="C203" t="s">
        <v>55</v>
      </c>
      <c r="D203" t="s">
        <v>85</v>
      </c>
      <c r="E203">
        <v>45866</v>
      </c>
      <c r="F203" t="s">
        <v>18</v>
      </c>
      <c r="G203">
        <v>0</v>
      </c>
      <c r="H203" t="s">
        <v>19</v>
      </c>
    </row>
    <row r="204" spans="1:8" x14ac:dyDescent="0.3">
      <c r="A204" t="s">
        <v>244</v>
      </c>
      <c r="B204" t="s">
        <v>29</v>
      </c>
      <c r="C204" t="s">
        <v>10</v>
      </c>
      <c r="D204" t="s">
        <v>45</v>
      </c>
      <c r="E204">
        <v>76854</v>
      </c>
      <c r="F204" t="s">
        <v>32</v>
      </c>
      <c r="G204">
        <v>13</v>
      </c>
      <c r="H204" t="s">
        <v>35</v>
      </c>
    </row>
    <row r="205" spans="1:8" x14ac:dyDescent="0.3">
      <c r="A205" t="s">
        <v>245</v>
      </c>
      <c r="B205" t="s">
        <v>34</v>
      </c>
      <c r="C205" t="s">
        <v>26</v>
      </c>
      <c r="D205" t="s">
        <v>39</v>
      </c>
      <c r="E205">
        <v>106821</v>
      </c>
      <c r="F205" t="s">
        <v>12</v>
      </c>
      <c r="G205">
        <v>14</v>
      </c>
      <c r="H205" t="s">
        <v>35</v>
      </c>
    </row>
    <row r="206" spans="1:8" x14ac:dyDescent="0.3">
      <c r="A206" t="s">
        <v>246</v>
      </c>
      <c r="B206" t="s">
        <v>37</v>
      </c>
      <c r="C206" t="s">
        <v>16</v>
      </c>
      <c r="D206" t="s">
        <v>23</v>
      </c>
      <c r="E206">
        <v>60275</v>
      </c>
      <c r="F206" t="s">
        <v>18</v>
      </c>
      <c r="G206">
        <v>7</v>
      </c>
      <c r="H206" t="s">
        <v>13</v>
      </c>
    </row>
    <row r="207" spans="1:8" x14ac:dyDescent="0.3">
      <c r="A207" t="s">
        <v>247</v>
      </c>
      <c r="B207" t="s">
        <v>41</v>
      </c>
      <c r="C207" t="s">
        <v>22</v>
      </c>
      <c r="D207" t="s">
        <v>43</v>
      </c>
      <c r="E207">
        <v>135622</v>
      </c>
      <c r="F207" t="s">
        <v>32</v>
      </c>
      <c r="G207">
        <v>3</v>
      </c>
      <c r="H207" t="s">
        <v>35</v>
      </c>
    </row>
    <row r="208" spans="1:8" x14ac:dyDescent="0.3">
      <c r="A208" t="s">
        <v>248</v>
      </c>
      <c r="B208" t="s">
        <v>47</v>
      </c>
      <c r="C208" t="s">
        <v>22</v>
      </c>
      <c r="D208" t="s">
        <v>30</v>
      </c>
      <c r="E208">
        <v>41432</v>
      </c>
      <c r="F208" t="s">
        <v>32</v>
      </c>
      <c r="G208">
        <v>0</v>
      </c>
      <c r="H208" t="s">
        <v>35</v>
      </c>
    </row>
    <row r="209" spans="1:8" x14ac:dyDescent="0.3">
      <c r="A209" t="s">
        <v>249</v>
      </c>
      <c r="B209" t="s">
        <v>47</v>
      </c>
      <c r="C209" t="s">
        <v>26</v>
      </c>
      <c r="D209" t="s">
        <v>85</v>
      </c>
      <c r="E209">
        <v>146085</v>
      </c>
      <c r="F209" t="s">
        <v>18</v>
      </c>
      <c r="G209">
        <v>3</v>
      </c>
      <c r="H209" t="s">
        <v>13</v>
      </c>
    </row>
    <row r="210" spans="1:8" x14ac:dyDescent="0.3">
      <c r="A210" t="s">
        <v>250</v>
      </c>
      <c r="B210" t="s">
        <v>15</v>
      </c>
      <c r="C210" t="s">
        <v>22</v>
      </c>
      <c r="D210" t="s">
        <v>30</v>
      </c>
      <c r="E210">
        <v>93837</v>
      </c>
      <c r="F210" t="s">
        <v>12</v>
      </c>
      <c r="G210">
        <v>5</v>
      </c>
      <c r="H210" t="s">
        <v>19</v>
      </c>
    </row>
    <row r="211" spans="1:8" x14ac:dyDescent="0.3">
      <c r="A211" t="s">
        <v>251</v>
      </c>
      <c r="B211" t="s">
        <v>29</v>
      </c>
      <c r="C211" t="s">
        <v>16</v>
      </c>
      <c r="D211" t="s">
        <v>43</v>
      </c>
      <c r="E211">
        <v>91405</v>
      </c>
      <c r="F211" t="s">
        <v>18</v>
      </c>
      <c r="G211">
        <v>2</v>
      </c>
      <c r="H211" t="s">
        <v>19</v>
      </c>
    </row>
    <row r="212" spans="1:8" x14ac:dyDescent="0.3">
      <c r="A212" t="s">
        <v>252</v>
      </c>
      <c r="B212" t="s">
        <v>47</v>
      </c>
      <c r="C212" t="s">
        <v>16</v>
      </c>
      <c r="D212" t="s">
        <v>17</v>
      </c>
      <c r="E212">
        <v>32203</v>
      </c>
      <c r="F212" t="s">
        <v>12</v>
      </c>
      <c r="G212">
        <v>12</v>
      </c>
      <c r="H212" t="s">
        <v>13</v>
      </c>
    </row>
    <row r="213" spans="1:8" x14ac:dyDescent="0.3">
      <c r="A213" t="s">
        <v>253</v>
      </c>
      <c r="B213" t="s">
        <v>15</v>
      </c>
      <c r="C213" t="s">
        <v>26</v>
      </c>
      <c r="D213" t="s">
        <v>85</v>
      </c>
      <c r="E213">
        <v>90796</v>
      </c>
      <c r="F213" t="s">
        <v>32</v>
      </c>
      <c r="G213">
        <v>4</v>
      </c>
      <c r="H213" t="s">
        <v>13</v>
      </c>
    </row>
    <row r="214" spans="1:8" x14ac:dyDescent="0.3">
      <c r="A214" t="s">
        <v>254</v>
      </c>
      <c r="B214" t="s">
        <v>25</v>
      </c>
      <c r="C214" t="s">
        <v>42</v>
      </c>
      <c r="D214" t="s">
        <v>39</v>
      </c>
      <c r="E214">
        <v>82383</v>
      </c>
      <c r="F214" t="s">
        <v>12</v>
      </c>
      <c r="G214">
        <v>9</v>
      </c>
      <c r="H214" t="s">
        <v>19</v>
      </c>
    </row>
    <row r="215" spans="1:8" x14ac:dyDescent="0.3">
      <c r="A215" t="s">
        <v>255</v>
      </c>
      <c r="B215" t="s">
        <v>25</v>
      </c>
      <c r="C215" t="s">
        <v>26</v>
      </c>
      <c r="D215" t="s">
        <v>48</v>
      </c>
      <c r="E215">
        <v>29179</v>
      </c>
      <c r="F215" t="s">
        <v>32</v>
      </c>
      <c r="G215">
        <v>9</v>
      </c>
      <c r="H215" t="s">
        <v>19</v>
      </c>
    </row>
    <row r="216" spans="1:8" x14ac:dyDescent="0.3">
      <c r="A216" t="s">
        <v>256</v>
      </c>
      <c r="B216" t="s">
        <v>47</v>
      </c>
      <c r="C216" t="s">
        <v>22</v>
      </c>
      <c r="D216" t="s">
        <v>43</v>
      </c>
      <c r="E216">
        <v>30080</v>
      </c>
      <c r="F216" t="s">
        <v>32</v>
      </c>
      <c r="G216">
        <v>0</v>
      </c>
      <c r="H216" t="s">
        <v>13</v>
      </c>
    </row>
    <row r="217" spans="1:8" x14ac:dyDescent="0.3">
      <c r="A217" t="s">
        <v>257</v>
      </c>
      <c r="B217" t="s">
        <v>25</v>
      </c>
      <c r="C217" t="s">
        <v>10</v>
      </c>
      <c r="D217" t="s">
        <v>23</v>
      </c>
      <c r="E217">
        <v>79916</v>
      </c>
      <c r="F217" t="s">
        <v>12</v>
      </c>
      <c r="G217">
        <v>4</v>
      </c>
      <c r="H217" t="s">
        <v>13</v>
      </c>
    </row>
    <row r="218" spans="1:8" x14ac:dyDescent="0.3">
      <c r="A218" t="s">
        <v>258</v>
      </c>
      <c r="B218" t="s">
        <v>50</v>
      </c>
      <c r="C218" t="s">
        <v>55</v>
      </c>
      <c r="D218" t="s">
        <v>48</v>
      </c>
      <c r="E218">
        <v>138841</v>
      </c>
      <c r="F218" t="s">
        <v>32</v>
      </c>
      <c r="G218">
        <v>11</v>
      </c>
      <c r="H218" t="s">
        <v>19</v>
      </c>
    </row>
    <row r="219" spans="1:8" x14ac:dyDescent="0.3">
      <c r="A219" t="s">
        <v>259</v>
      </c>
      <c r="B219" t="s">
        <v>37</v>
      </c>
      <c r="C219" t="s">
        <v>26</v>
      </c>
      <c r="D219" t="s">
        <v>61</v>
      </c>
      <c r="E219">
        <v>144393</v>
      </c>
      <c r="F219" t="s">
        <v>18</v>
      </c>
      <c r="G219">
        <v>5</v>
      </c>
      <c r="H219" t="s">
        <v>19</v>
      </c>
    </row>
    <row r="220" spans="1:8" x14ac:dyDescent="0.3">
      <c r="A220" t="s">
        <v>260</v>
      </c>
      <c r="B220" t="s">
        <v>15</v>
      </c>
      <c r="C220" t="s">
        <v>42</v>
      </c>
      <c r="D220" t="s">
        <v>11</v>
      </c>
      <c r="E220">
        <v>35663</v>
      </c>
      <c r="F220" t="s">
        <v>18</v>
      </c>
      <c r="G220">
        <v>5</v>
      </c>
      <c r="H220" t="s">
        <v>13</v>
      </c>
    </row>
    <row r="221" spans="1:8" x14ac:dyDescent="0.3">
      <c r="A221" t="s">
        <v>261</v>
      </c>
      <c r="B221" t="s">
        <v>34</v>
      </c>
      <c r="C221" t="s">
        <v>16</v>
      </c>
      <c r="D221" t="s">
        <v>23</v>
      </c>
      <c r="E221">
        <v>74078</v>
      </c>
      <c r="F221" t="s">
        <v>12</v>
      </c>
      <c r="G221">
        <v>10</v>
      </c>
      <c r="H221" t="s">
        <v>13</v>
      </c>
    </row>
    <row r="222" spans="1:8" x14ac:dyDescent="0.3">
      <c r="A222" t="s">
        <v>262</v>
      </c>
      <c r="B222" t="s">
        <v>50</v>
      </c>
      <c r="C222" t="s">
        <v>55</v>
      </c>
      <c r="D222" t="s">
        <v>30</v>
      </c>
      <c r="E222">
        <v>102393</v>
      </c>
      <c r="F222" t="s">
        <v>32</v>
      </c>
      <c r="G222">
        <v>6</v>
      </c>
      <c r="H222" t="s">
        <v>13</v>
      </c>
    </row>
    <row r="223" spans="1:8" x14ac:dyDescent="0.3">
      <c r="A223" t="s">
        <v>263</v>
      </c>
      <c r="B223" t="s">
        <v>21</v>
      </c>
      <c r="C223" t="s">
        <v>42</v>
      </c>
      <c r="D223" t="s">
        <v>61</v>
      </c>
      <c r="E223">
        <v>44940</v>
      </c>
      <c r="F223" t="s">
        <v>12</v>
      </c>
      <c r="G223">
        <v>12</v>
      </c>
      <c r="H223" t="s">
        <v>13</v>
      </c>
    </row>
    <row r="224" spans="1:8" x14ac:dyDescent="0.3">
      <c r="A224" t="s">
        <v>264</v>
      </c>
      <c r="B224" t="s">
        <v>25</v>
      </c>
      <c r="C224" t="s">
        <v>55</v>
      </c>
      <c r="D224" t="s">
        <v>17</v>
      </c>
      <c r="E224">
        <v>59451</v>
      </c>
      <c r="F224" t="s">
        <v>32</v>
      </c>
      <c r="G224">
        <v>1</v>
      </c>
      <c r="H224" t="s">
        <v>13</v>
      </c>
    </row>
    <row r="225" spans="1:8" x14ac:dyDescent="0.3">
      <c r="A225" t="s">
        <v>265</v>
      </c>
      <c r="B225" t="s">
        <v>25</v>
      </c>
      <c r="C225" t="s">
        <v>16</v>
      </c>
      <c r="D225" t="s">
        <v>11</v>
      </c>
      <c r="E225">
        <v>81016</v>
      </c>
      <c r="F225" t="s">
        <v>12</v>
      </c>
      <c r="G225">
        <v>12</v>
      </c>
      <c r="H225" t="s">
        <v>19</v>
      </c>
    </row>
    <row r="226" spans="1:8" x14ac:dyDescent="0.3">
      <c r="A226" t="s">
        <v>266</v>
      </c>
      <c r="B226" t="s">
        <v>25</v>
      </c>
      <c r="C226" t="s">
        <v>16</v>
      </c>
      <c r="D226" t="s">
        <v>61</v>
      </c>
      <c r="E226">
        <v>40612</v>
      </c>
      <c r="F226" t="s">
        <v>18</v>
      </c>
      <c r="G226">
        <v>11</v>
      </c>
      <c r="H226" t="s">
        <v>35</v>
      </c>
    </row>
    <row r="227" spans="1:8" x14ac:dyDescent="0.3">
      <c r="A227" t="s">
        <v>267</v>
      </c>
      <c r="B227" t="s">
        <v>29</v>
      </c>
      <c r="C227" t="s">
        <v>22</v>
      </c>
      <c r="D227" t="s">
        <v>53</v>
      </c>
      <c r="E227">
        <v>43587</v>
      </c>
      <c r="F227" t="s">
        <v>18</v>
      </c>
      <c r="G227">
        <v>1</v>
      </c>
      <c r="H227" t="s">
        <v>13</v>
      </c>
    </row>
    <row r="228" spans="1:8" x14ac:dyDescent="0.3">
      <c r="A228" t="s">
        <v>268</v>
      </c>
      <c r="B228" t="s">
        <v>9</v>
      </c>
      <c r="C228" t="s">
        <v>22</v>
      </c>
      <c r="D228" t="s">
        <v>53</v>
      </c>
      <c r="E228">
        <v>12925</v>
      </c>
      <c r="F228" t="s">
        <v>32</v>
      </c>
      <c r="G228">
        <v>8</v>
      </c>
      <c r="H228" t="s">
        <v>35</v>
      </c>
    </row>
    <row r="229" spans="1:8" x14ac:dyDescent="0.3">
      <c r="A229" t="s">
        <v>269</v>
      </c>
      <c r="B229" t="s">
        <v>15</v>
      </c>
      <c r="C229" t="s">
        <v>26</v>
      </c>
      <c r="D229" t="s">
        <v>45</v>
      </c>
      <c r="E229">
        <v>32144</v>
      </c>
      <c r="F229" t="s">
        <v>32</v>
      </c>
      <c r="G229">
        <v>7</v>
      </c>
      <c r="H229" t="s">
        <v>19</v>
      </c>
    </row>
    <row r="230" spans="1:8" x14ac:dyDescent="0.3">
      <c r="A230" t="s">
        <v>270</v>
      </c>
      <c r="B230" t="s">
        <v>25</v>
      </c>
      <c r="C230" t="s">
        <v>10</v>
      </c>
      <c r="D230" t="s">
        <v>27</v>
      </c>
      <c r="E230">
        <v>142932</v>
      </c>
      <c r="F230" t="s">
        <v>18</v>
      </c>
      <c r="G230">
        <v>5</v>
      </c>
      <c r="H230" t="s">
        <v>35</v>
      </c>
    </row>
    <row r="231" spans="1:8" x14ac:dyDescent="0.3">
      <c r="A231" t="s">
        <v>271</v>
      </c>
      <c r="B231" t="s">
        <v>29</v>
      </c>
      <c r="C231" t="s">
        <v>16</v>
      </c>
      <c r="D231" t="s">
        <v>43</v>
      </c>
      <c r="E231">
        <v>77219</v>
      </c>
      <c r="F231" t="s">
        <v>32</v>
      </c>
      <c r="G231">
        <v>14</v>
      </c>
      <c r="H231" t="s">
        <v>35</v>
      </c>
    </row>
    <row r="232" spans="1:8" x14ac:dyDescent="0.3">
      <c r="A232" t="s">
        <v>272</v>
      </c>
      <c r="B232" t="s">
        <v>21</v>
      </c>
      <c r="C232" t="s">
        <v>55</v>
      </c>
      <c r="D232" t="s">
        <v>61</v>
      </c>
      <c r="E232">
        <v>109264</v>
      </c>
      <c r="F232" t="s">
        <v>18</v>
      </c>
      <c r="G232">
        <v>5</v>
      </c>
      <c r="H232" t="s">
        <v>19</v>
      </c>
    </row>
    <row r="233" spans="1:8" x14ac:dyDescent="0.3">
      <c r="A233" t="s">
        <v>273</v>
      </c>
      <c r="B233" t="s">
        <v>9</v>
      </c>
      <c r="C233" t="s">
        <v>10</v>
      </c>
      <c r="D233" t="s">
        <v>53</v>
      </c>
      <c r="E233">
        <v>63932</v>
      </c>
      <c r="F233" t="s">
        <v>32</v>
      </c>
      <c r="G233">
        <v>15</v>
      </c>
      <c r="H233" t="s">
        <v>19</v>
      </c>
    </row>
    <row r="234" spans="1:8" x14ac:dyDescent="0.3">
      <c r="A234" t="s">
        <v>274</v>
      </c>
      <c r="B234" t="s">
        <v>25</v>
      </c>
      <c r="C234" t="s">
        <v>10</v>
      </c>
      <c r="D234" t="s">
        <v>48</v>
      </c>
      <c r="E234">
        <v>37346</v>
      </c>
      <c r="F234" t="s">
        <v>12</v>
      </c>
      <c r="G234">
        <v>13</v>
      </c>
      <c r="H234" t="s">
        <v>19</v>
      </c>
    </row>
    <row r="235" spans="1:8" x14ac:dyDescent="0.3">
      <c r="A235" t="s">
        <v>275</v>
      </c>
      <c r="B235" t="s">
        <v>50</v>
      </c>
      <c r="C235" t="s">
        <v>42</v>
      </c>
      <c r="D235" t="s">
        <v>61</v>
      </c>
      <c r="E235">
        <v>139972</v>
      </c>
      <c r="F235" t="s">
        <v>12</v>
      </c>
      <c r="G235">
        <v>12</v>
      </c>
      <c r="H235" t="s">
        <v>19</v>
      </c>
    </row>
    <row r="236" spans="1:8" x14ac:dyDescent="0.3">
      <c r="A236" t="s">
        <v>276</v>
      </c>
      <c r="B236" t="s">
        <v>21</v>
      </c>
      <c r="C236" t="s">
        <v>22</v>
      </c>
      <c r="D236" t="s">
        <v>43</v>
      </c>
      <c r="E236">
        <v>46550</v>
      </c>
      <c r="F236" t="s">
        <v>18</v>
      </c>
      <c r="G236">
        <v>15</v>
      </c>
      <c r="H236" t="s">
        <v>13</v>
      </c>
    </row>
    <row r="237" spans="1:8" x14ac:dyDescent="0.3">
      <c r="A237" t="s">
        <v>277</v>
      </c>
      <c r="B237" t="s">
        <v>21</v>
      </c>
      <c r="C237" t="s">
        <v>26</v>
      </c>
      <c r="D237" t="s">
        <v>27</v>
      </c>
      <c r="E237">
        <v>23647</v>
      </c>
      <c r="F237" t="s">
        <v>18</v>
      </c>
      <c r="G237">
        <v>6</v>
      </c>
      <c r="H237" t="s">
        <v>35</v>
      </c>
    </row>
    <row r="238" spans="1:8" x14ac:dyDescent="0.3">
      <c r="A238" t="s">
        <v>278</v>
      </c>
      <c r="B238" t="s">
        <v>41</v>
      </c>
      <c r="C238" t="s">
        <v>22</v>
      </c>
      <c r="D238" t="s">
        <v>53</v>
      </c>
      <c r="E238">
        <v>27320</v>
      </c>
      <c r="F238" t="s">
        <v>32</v>
      </c>
      <c r="G238">
        <v>2</v>
      </c>
      <c r="H238" t="s">
        <v>35</v>
      </c>
    </row>
    <row r="239" spans="1:8" x14ac:dyDescent="0.3">
      <c r="A239" t="s">
        <v>279</v>
      </c>
      <c r="B239" t="s">
        <v>29</v>
      </c>
      <c r="C239" t="s">
        <v>16</v>
      </c>
      <c r="D239" t="s">
        <v>11</v>
      </c>
      <c r="E239">
        <v>22720</v>
      </c>
      <c r="F239" t="s">
        <v>32</v>
      </c>
      <c r="G239">
        <v>5</v>
      </c>
      <c r="H239" t="s">
        <v>13</v>
      </c>
    </row>
    <row r="240" spans="1:8" x14ac:dyDescent="0.3">
      <c r="A240" t="s">
        <v>280</v>
      </c>
      <c r="B240" t="s">
        <v>9</v>
      </c>
      <c r="C240" t="s">
        <v>10</v>
      </c>
      <c r="D240" t="s">
        <v>23</v>
      </c>
      <c r="E240">
        <v>64261</v>
      </c>
      <c r="F240" t="s">
        <v>12</v>
      </c>
      <c r="G240">
        <v>8</v>
      </c>
      <c r="H240" t="s">
        <v>19</v>
      </c>
    </row>
    <row r="241" spans="1:8" x14ac:dyDescent="0.3">
      <c r="A241" t="s">
        <v>281</v>
      </c>
      <c r="B241" t="s">
        <v>41</v>
      </c>
      <c r="C241" t="s">
        <v>10</v>
      </c>
      <c r="D241" t="s">
        <v>11</v>
      </c>
      <c r="E241">
        <v>23187</v>
      </c>
      <c r="F241" t="s">
        <v>32</v>
      </c>
      <c r="G241">
        <v>4</v>
      </c>
      <c r="H241" t="s">
        <v>13</v>
      </c>
    </row>
    <row r="242" spans="1:8" x14ac:dyDescent="0.3">
      <c r="A242" t="s">
        <v>282</v>
      </c>
      <c r="B242" t="s">
        <v>25</v>
      </c>
      <c r="C242" t="s">
        <v>55</v>
      </c>
      <c r="D242" t="s">
        <v>30</v>
      </c>
      <c r="E242">
        <v>125720</v>
      </c>
      <c r="F242" t="s">
        <v>32</v>
      </c>
      <c r="G242">
        <v>9</v>
      </c>
      <c r="H242" t="s">
        <v>19</v>
      </c>
    </row>
    <row r="243" spans="1:8" x14ac:dyDescent="0.3">
      <c r="A243" t="s">
        <v>283</v>
      </c>
      <c r="B243" t="s">
        <v>9</v>
      </c>
      <c r="C243" t="s">
        <v>22</v>
      </c>
      <c r="D243" t="s">
        <v>61</v>
      </c>
      <c r="E243">
        <v>84269</v>
      </c>
      <c r="F243" t="s">
        <v>12</v>
      </c>
      <c r="G243">
        <v>10</v>
      </c>
      <c r="H243" t="s">
        <v>13</v>
      </c>
    </row>
    <row r="244" spans="1:8" x14ac:dyDescent="0.3">
      <c r="A244" t="s">
        <v>284</v>
      </c>
      <c r="B244" t="s">
        <v>9</v>
      </c>
      <c r="C244" t="s">
        <v>22</v>
      </c>
      <c r="D244" t="s">
        <v>48</v>
      </c>
      <c r="E244">
        <v>107472</v>
      </c>
      <c r="F244" t="s">
        <v>32</v>
      </c>
      <c r="G244">
        <v>10</v>
      </c>
      <c r="H244" t="s">
        <v>19</v>
      </c>
    </row>
    <row r="245" spans="1:8" x14ac:dyDescent="0.3">
      <c r="A245" t="s">
        <v>285</v>
      </c>
      <c r="B245" t="s">
        <v>29</v>
      </c>
      <c r="C245" t="s">
        <v>16</v>
      </c>
      <c r="D245" t="s">
        <v>17</v>
      </c>
      <c r="E245">
        <v>13589</v>
      </c>
      <c r="F245" t="s">
        <v>12</v>
      </c>
      <c r="G245">
        <v>15</v>
      </c>
      <c r="H245" t="s">
        <v>19</v>
      </c>
    </row>
    <row r="246" spans="1:8" x14ac:dyDescent="0.3">
      <c r="A246" t="s">
        <v>286</v>
      </c>
      <c r="B246" t="s">
        <v>50</v>
      </c>
      <c r="C246" t="s">
        <v>16</v>
      </c>
      <c r="D246" t="s">
        <v>11</v>
      </c>
      <c r="E246">
        <v>59107</v>
      </c>
      <c r="F246" t="s">
        <v>32</v>
      </c>
      <c r="G246">
        <v>8</v>
      </c>
      <c r="H246" t="s">
        <v>13</v>
      </c>
    </row>
    <row r="247" spans="1:8" x14ac:dyDescent="0.3">
      <c r="A247" t="s">
        <v>287</v>
      </c>
      <c r="B247" t="s">
        <v>41</v>
      </c>
      <c r="C247" t="s">
        <v>42</v>
      </c>
      <c r="D247" t="s">
        <v>48</v>
      </c>
      <c r="E247">
        <v>68930</v>
      </c>
      <c r="F247" t="s">
        <v>32</v>
      </c>
      <c r="G247">
        <v>5</v>
      </c>
      <c r="H247" t="s">
        <v>35</v>
      </c>
    </row>
    <row r="248" spans="1:8" x14ac:dyDescent="0.3">
      <c r="A248" t="s">
        <v>288</v>
      </c>
      <c r="B248" t="s">
        <v>29</v>
      </c>
      <c r="C248" t="s">
        <v>55</v>
      </c>
      <c r="D248" t="s">
        <v>45</v>
      </c>
      <c r="E248">
        <v>117834</v>
      </c>
      <c r="F248" t="s">
        <v>32</v>
      </c>
      <c r="G248">
        <v>6</v>
      </c>
      <c r="H248" t="s">
        <v>19</v>
      </c>
    </row>
    <row r="249" spans="1:8" x14ac:dyDescent="0.3">
      <c r="A249" t="s">
        <v>289</v>
      </c>
      <c r="B249" t="s">
        <v>29</v>
      </c>
      <c r="C249" t="s">
        <v>55</v>
      </c>
      <c r="D249" t="s">
        <v>23</v>
      </c>
      <c r="E249">
        <v>35349</v>
      </c>
      <c r="F249" t="s">
        <v>32</v>
      </c>
      <c r="G249">
        <v>3</v>
      </c>
      <c r="H249" t="s">
        <v>13</v>
      </c>
    </row>
    <row r="250" spans="1:8" x14ac:dyDescent="0.3">
      <c r="A250" t="s">
        <v>290</v>
      </c>
      <c r="B250" t="s">
        <v>29</v>
      </c>
      <c r="C250" t="s">
        <v>42</v>
      </c>
      <c r="D250" t="s">
        <v>11</v>
      </c>
      <c r="E250">
        <v>83052</v>
      </c>
      <c r="F250" t="s">
        <v>18</v>
      </c>
      <c r="G250">
        <v>8</v>
      </c>
      <c r="H250" t="s">
        <v>35</v>
      </c>
    </row>
    <row r="251" spans="1:8" x14ac:dyDescent="0.3">
      <c r="A251" t="s">
        <v>291</v>
      </c>
      <c r="B251" t="s">
        <v>47</v>
      </c>
      <c r="C251" t="s">
        <v>42</v>
      </c>
      <c r="D251" t="s">
        <v>53</v>
      </c>
      <c r="E251">
        <v>144129</v>
      </c>
      <c r="F251" t="s">
        <v>18</v>
      </c>
      <c r="G251">
        <v>3</v>
      </c>
      <c r="H251" t="s">
        <v>19</v>
      </c>
    </row>
    <row r="252" spans="1:8" x14ac:dyDescent="0.3">
      <c r="A252" t="s">
        <v>292</v>
      </c>
      <c r="B252" t="s">
        <v>47</v>
      </c>
      <c r="C252" t="s">
        <v>10</v>
      </c>
      <c r="D252" t="s">
        <v>30</v>
      </c>
      <c r="E252">
        <v>62426</v>
      </c>
      <c r="F252" t="s">
        <v>12</v>
      </c>
      <c r="G252">
        <v>9</v>
      </c>
      <c r="H252" t="s">
        <v>35</v>
      </c>
    </row>
    <row r="253" spans="1:8" x14ac:dyDescent="0.3">
      <c r="A253" t="s">
        <v>293</v>
      </c>
      <c r="B253" t="s">
        <v>41</v>
      </c>
      <c r="C253" t="s">
        <v>16</v>
      </c>
      <c r="D253" t="s">
        <v>43</v>
      </c>
      <c r="E253">
        <v>51218</v>
      </c>
      <c r="F253" t="s">
        <v>32</v>
      </c>
      <c r="G253">
        <v>2</v>
      </c>
      <c r="H253" t="s">
        <v>13</v>
      </c>
    </row>
    <row r="254" spans="1:8" x14ac:dyDescent="0.3">
      <c r="A254" t="s">
        <v>294</v>
      </c>
      <c r="B254" t="s">
        <v>34</v>
      </c>
      <c r="C254" t="s">
        <v>16</v>
      </c>
      <c r="D254" t="s">
        <v>45</v>
      </c>
      <c r="E254">
        <v>140719</v>
      </c>
      <c r="F254" t="s">
        <v>12</v>
      </c>
      <c r="G254">
        <v>0</v>
      </c>
      <c r="H254" t="s">
        <v>35</v>
      </c>
    </row>
    <row r="255" spans="1:8" x14ac:dyDescent="0.3">
      <c r="A255" t="s">
        <v>295</v>
      </c>
      <c r="B255" t="s">
        <v>21</v>
      </c>
      <c r="C255" t="s">
        <v>22</v>
      </c>
      <c r="D255" t="s">
        <v>45</v>
      </c>
      <c r="E255">
        <v>51711</v>
      </c>
      <c r="F255" t="s">
        <v>12</v>
      </c>
      <c r="G255">
        <v>8</v>
      </c>
      <c r="H255" t="s">
        <v>35</v>
      </c>
    </row>
    <row r="256" spans="1:8" x14ac:dyDescent="0.3">
      <c r="A256" t="s">
        <v>296</v>
      </c>
      <c r="B256" t="s">
        <v>41</v>
      </c>
      <c r="C256" t="s">
        <v>26</v>
      </c>
      <c r="D256" t="s">
        <v>30</v>
      </c>
      <c r="E256">
        <v>17946</v>
      </c>
      <c r="F256" t="s">
        <v>32</v>
      </c>
      <c r="G256">
        <v>14</v>
      </c>
      <c r="H256" t="s">
        <v>19</v>
      </c>
    </row>
    <row r="257" spans="1:8" x14ac:dyDescent="0.3">
      <c r="A257" t="s">
        <v>297</v>
      </c>
      <c r="B257" t="s">
        <v>34</v>
      </c>
      <c r="C257" t="s">
        <v>26</v>
      </c>
      <c r="D257" t="s">
        <v>85</v>
      </c>
      <c r="E257">
        <v>100959</v>
      </c>
      <c r="F257" t="s">
        <v>18</v>
      </c>
      <c r="G257">
        <v>8</v>
      </c>
      <c r="H257" t="s">
        <v>19</v>
      </c>
    </row>
    <row r="258" spans="1:8" x14ac:dyDescent="0.3">
      <c r="A258" t="s">
        <v>298</v>
      </c>
      <c r="B258" t="s">
        <v>21</v>
      </c>
      <c r="C258" t="s">
        <v>26</v>
      </c>
      <c r="D258" t="s">
        <v>17</v>
      </c>
      <c r="E258">
        <v>99925</v>
      </c>
      <c r="F258" t="s">
        <v>12</v>
      </c>
      <c r="G258">
        <v>11</v>
      </c>
      <c r="H258" t="s">
        <v>19</v>
      </c>
    </row>
    <row r="259" spans="1:8" x14ac:dyDescent="0.3">
      <c r="A259" t="s">
        <v>299</v>
      </c>
      <c r="B259" t="s">
        <v>29</v>
      </c>
      <c r="C259" t="s">
        <v>10</v>
      </c>
      <c r="D259" t="s">
        <v>23</v>
      </c>
      <c r="E259">
        <v>94223</v>
      </c>
      <c r="F259" t="s">
        <v>12</v>
      </c>
      <c r="G259">
        <v>6</v>
      </c>
      <c r="H259" t="s">
        <v>19</v>
      </c>
    </row>
    <row r="260" spans="1:8" x14ac:dyDescent="0.3">
      <c r="A260" t="s">
        <v>300</v>
      </c>
      <c r="B260" t="s">
        <v>41</v>
      </c>
      <c r="C260" t="s">
        <v>42</v>
      </c>
      <c r="D260" t="s">
        <v>45</v>
      </c>
      <c r="E260">
        <v>103061</v>
      </c>
      <c r="F260" t="s">
        <v>32</v>
      </c>
      <c r="G260">
        <v>15</v>
      </c>
      <c r="H260" t="s">
        <v>19</v>
      </c>
    </row>
    <row r="261" spans="1:8" x14ac:dyDescent="0.3">
      <c r="A261" t="s">
        <v>301</v>
      </c>
      <c r="B261" t="s">
        <v>25</v>
      </c>
      <c r="C261" t="s">
        <v>22</v>
      </c>
      <c r="D261" t="s">
        <v>23</v>
      </c>
      <c r="E261">
        <v>85773</v>
      </c>
      <c r="F261" t="s">
        <v>12</v>
      </c>
      <c r="G261">
        <v>11</v>
      </c>
      <c r="H261" t="s">
        <v>19</v>
      </c>
    </row>
    <row r="262" spans="1:8" x14ac:dyDescent="0.3">
      <c r="A262" t="s">
        <v>302</v>
      </c>
      <c r="B262" t="s">
        <v>47</v>
      </c>
      <c r="C262" t="s">
        <v>55</v>
      </c>
      <c r="D262" t="s">
        <v>30</v>
      </c>
      <c r="E262">
        <v>60383</v>
      </c>
      <c r="F262" t="s">
        <v>32</v>
      </c>
      <c r="G262">
        <v>9</v>
      </c>
      <c r="H262" t="s">
        <v>13</v>
      </c>
    </row>
    <row r="263" spans="1:8" x14ac:dyDescent="0.3">
      <c r="A263" t="s">
        <v>303</v>
      </c>
      <c r="B263" t="s">
        <v>37</v>
      </c>
      <c r="C263" t="s">
        <v>55</v>
      </c>
      <c r="D263" t="s">
        <v>23</v>
      </c>
      <c r="E263">
        <v>149345</v>
      </c>
      <c r="F263" t="s">
        <v>12</v>
      </c>
      <c r="G263">
        <v>8</v>
      </c>
      <c r="H263" t="s">
        <v>19</v>
      </c>
    </row>
    <row r="264" spans="1:8" x14ac:dyDescent="0.3">
      <c r="A264" t="s">
        <v>304</v>
      </c>
      <c r="B264" t="s">
        <v>21</v>
      </c>
      <c r="C264" t="s">
        <v>42</v>
      </c>
      <c r="D264" t="s">
        <v>43</v>
      </c>
      <c r="E264">
        <v>146886</v>
      </c>
      <c r="F264" t="s">
        <v>32</v>
      </c>
      <c r="G264">
        <v>8</v>
      </c>
      <c r="H264" t="s">
        <v>35</v>
      </c>
    </row>
    <row r="265" spans="1:8" x14ac:dyDescent="0.3">
      <c r="A265" t="s">
        <v>305</v>
      </c>
      <c r="B265" t="s">
        <v>41</v>
      </c>
      <c r="C265" t="s">
        <v>55</v>
      </c>
      <c r="D265" t="s">
        <v>48</v>
      </c>
      <c r="E265">
        <v>23775</v>
      </c>
      <c r="F265" t="s">
        <v>32</v>
      </c>
      <c r="G265">
        <v>10</v>
      </c>
      <c r="H265" t="s">
        <v>35</v>
      </c>
    </row>
    <row r="266" spans="1:8" x14ac:dyDescent="0.3">
      <c r="A266" t="s">
        <v>306</v>
      </c>
      <c r="B266" t="s">
        <v>50</v>
      </c>
      <c r="C266" t="s">
        <v>16</v>
      </c>
      <c r="D266" t="s">
        <v>17</v>
      </c>
      <c r="E266">
        <v>66986</v>
      </c>
      <c r="F266" t="s">
        <v>12</v>
      </c>
      <c r="G266">
        <v>15</v>
      </c>
      <c r="H266" t="s">
        <v>13</v>
      </c>
    </row>
    <row r="267" spans="1:8" x14ac:dyDescent="0.3">
      <c r="A267" t="s">
        <v>307</v>
      </c>
      <c r="B267" t="s">
        <v>34</v>
      </c>
      <c r="C267" t="s">
        <v>10</v>
      </c>
      <c r="D267" t="s">
        <v>85</v>
      </c>
      <c r="E267">
        <v>57668</v>
      </c>
      <c r="F267" t="s">
        <v>12</v>
      </c>
      <c r="G267">
        <v>10</v>
      </c>
      <c r="H267" t="s">
        <v>35</v>
      </c>
    </row>
    <row r="268" spans="1:8" x14ac:dyDescent="0.3">
      <c r="A268" t="s">
        <v>308</v>
      </c>
      <c r="B268" t="s">
        <v>9</v>
      </c>
      <c r="C268" t="s">
        <v>42</v>
      </c>
      <c r="D268" t="s">
        <v>30</v>
      </c>
      <c r="E268">
        <v>70106</v>
      </c>
      <c r="F268" t="s">
        <v>12</v>
      </c>
      <c r="G268">
        <v>2</v>
      </c>
      <c r="H268" t="s">
        <v>35</v>
      </c>
    </row>
    <row r="269" spans="1:8" x14ac:dyDescent="0.3">
      <c r="A269" t="s">
        <v>309</v>
      </c>
      <c r="B269" t="s">
        <v>25</v>
      </c>
      <c r="C269" t="s">
        <v>42</v>
      </c>
      <c r="D269" t="s">
        <v>30</v>
      </c>
      <c r="E269">
        <v>25780</v>
      </c>
      <c r="F269" t="s">
        <v>12</v>
      </c>
      <c r="G269">
        <v>13</v>
      </c>
      <c r="H269" t="s">
        <v>13</v>
      </c>
    </row>
    <row r="270" spans="1:8" x14ac:dyDescent="0.3">
      <c r="A270" t="s">
        <v>310</v>
      </c>
      <c r="B270" t="s">
        <v>34</v>
      </c>
      <c r="C270" t="s">
        <v>16</v>
      </c>
      <c r="D270" t="s">
        <v>53</v>
      </c>
      <c r="E270">
        <v>42761</v>
      </c>
      <c r="F270" t="s">
        <v>18</v>
      </c>
      <c r="G270">
        <v>4</v>
      </c>
      <c r="H270" t="s">
        <v>13</v>
      </c>
    </row>
    <row r="271" spans="1:8" x14ac:dyDescent="0.3">
      <c r="A271" t="s">
        <v>311</v>
      </c>
      <c r="B271" t="s">
        <v>47</v>
      </c>
      <c r="C271" t="s">
        <v>55</v>
      </c>
      <c r="D271" t="s">
        <v>61</v>
      </c>
      <c r="E271">
        <v>73754</v>
      </c>
      <c r="F271" t="s">
        <v>32</v>
      </c>
      <c r="G271">
        <v>1</v>
      </c>
      <c r="H271" t="s">
        <v>35</v>
      </c>
    </row>
    <row r="272" spans="1:8" x14ac:dyDescent="0.3">
      <c r="A272" t="s">
        <v>312</v>
      </c>
      <c r="B272" t="s">
        <v>9</v>
      </c>
      <c r="C272" t="s">
        <v>10</v>
      </c>
      <c r="D272" t="s">
        <v>43</v>
      </c>
      <c r="E272">
        <v>55739</v>
      </c>
      <c r="F272" t="s">
        <v>18</v>
      </c>
      <c r="G272">
        <v>13</v>
      </c>
      <c r="H272" t="s">
        <v>35</v>
      </c>
    </row>
    <row r="273" spans="1:8" x14ac:dyDescent="0.3">
      <c r="A273" t="s">
        <v>313</v>
      </c>
      <c r="B273" t="s">
        <v>21</v>
      </c>
      <c r="C273" t="s">
        <v>26</v>
      </c>
      <c r="D273" t="s">
        <v>11</v>
      </c>
      <c r="E273">
        <v>111644</v>
      </c>
      <c r="F273" t="s">
        <v>18</v>
      </c>
      <c r="G273">
        <v>2</v>
      </c>
      <c r="H273" t="s">
        <v>13</v>
      </c>
    </row>
    <row r="274" spans="1:8" x14ac:dyDescent="0.3">
      <c r="A274" t="s">
        <v>314</v>
      </c>
      <c r="B274" t="s">
        <v>25</v>
      </c>
      <c r="C274" t="s">
        <v>16</v>
      </c>
      <c r="D274" t="s">
        <v>85</v>
      </c>
      <c r="E274">
        <v>81555</v>
      </c>
      <c r="F274" t="s">
        <v>18</v>
      </c>
      <c r="G274">
        <v>13</v>
      </c>
      <c r="H274" t="s">
        <v>35</v>
      </c>
    </row>
    <row r="275" spans="1:8" x14ac:dyDescent="0.3">
      <c r="A275" t="s">
        <v>315</v>
      </c>
      <c r="B275" t="s">
        <v>25</v>
      </c>
      <c r="C275" t="s">
        <v>26</v>
      </c>
      <c r="D275" t="s">
        <v>39</v>
      </c>
      <c r="E275">
        <v>127719</v>
      </c>
      <c r="F275" t="s">
        <v>18</v>
      </c>
      <c r="G275">
        <v>13</v>
      </c>
      <c r="H275" t="s">
        <v>19</v>
      </c>
    </row>
    <row r="276" spans="1:8" x14ac:dyDescent="0.3">
      <c r="A276" t="s">
        <v>316</v>
      </c>
      <c r="B276" t="s">
        <v>9</v>
      </c>
      <c r="C276" t="s">
        <v>16</v>
      </c>
      <c r="D276" t="s">
        <v>85</v>
      </c>
      <c r="E276">
        <v>40558</v>
      </c>
      <c r="F276" t="s">
        <v>12</v>
      </c>
      <c r="G276">
        <v>3</v>
      </c>
      <c r="H276" t="s">
        <v>13</v>
      </c>
    </row>
    <row r="277" spans="1:8" x14ac:dyDescent="0.3">
      <c r="A277" t="s">
        <v>317</v>
      </c>
      <c r="B277" t="s">
        <v>37</v>
      </c>
      <c r="C277" t="s">
        <v>10</v>
      </c>
      <c r="D277" t="s">
        <v>39</v>
      </c>
      <c r="E277">
        <v>95405</v>
      </c>
      <c r="F277" t="s">
        <v>18</v>
      </c>
      <c r="G277">
        <v>4</v>
      </c>
      <c r="H277" t="s">
        <v>13</v>
      </c>
    </row>
    <row r="278" spans="1:8" x14ac:dyDescent="0.3">
      <c r="A278" t="s">
        <v>318</v>
      </c>
      <c r="B278" t="s">
        <v>47</v>
      </c>
      <c r="C278" t="s">
        <v>42</v>
      </c>
      <c r="D278" t="s">
        <v>48</v>
      </c>
      <c r="E278">
        <v>13627</v>
      </c>
      <c r="F278" t="s">
        <v>18</v>
      </c>
      <c r="G278">
        <v>5</v>
      </c>
      <c r="H278" t="s">
        <v>13</v>
      </c>
    </row>
    <row r="279" spans="1:8" x14ac:dyDescent="0.3">
      <c r="A279" t="s">
        <v>319</v>
      </c>
      <c r="B279" t="s">
        <v>47</v>
      </c>
      <c r="C279" t="s">
        <v>26</v>
      </c>
      <c r="D279" t="s">
        <v>11</v>
      </c>
      <c r="E279">
        <v>121708</v>
      </c>
      <c r="F279" t="s">
        <v>32</v>
      </c>
      <c r="G279">
        <v>14</v>
      </c>
      <c r="H279" t="s">
        <v>19</v>
      </c>
    </row>
    <row r="280" spans="1:8" x14ac:dyDescent="0.3">
      <c r="A280" t="s">
        <v>320</v>
      </c>
      <c r="B280" t="s">
        <v>34</v>
      </c>
      <c r="C280" t="s">
        <v>10</v>
      </c>
      <c r="D280" t="s">
        <v>53</v>
      </c>
      <c r="E280">
        <v>61952</v>
      </c>
      <c r="F280" t="s">
        <v>18</v>
      </c>
      <c r="G280">
        <v>5</v>
      </c>
      <c r="H280" t="s">
        <v>13</v>
      </c>
    </row>
    <row r="281" spans="1:8" x14ac:dyDescent="0.3">
      <c r="A281" t="s">
        <v>321</v>
      </c>
      <c r="B281" t="s">
        <v>21</v>
      </c>
      <c r="C281" t="s">
        <v>42</v>
      </c>
      <c r="D281" t="s">
        <v>53</v>
      </c>
      <c r="E281">
        <v>102113</v>
      </c>
      <c r="F281" t="s">
        <v>18</v>
      </c>
      <c r="G281">
        <v>14</v>
      </c>
      <c r="H281" t="s">
        <v>35</v>
      </c>
    </row>
    <row r="282" spans="1:8" x14ac:dyDescent="0.3">
      <c r="A282" t="s">
        <v>322</v>
      </c>
      <c r="B282" t="s">
        <v>15</v>
      </c>
      <c r="C282" t="s">
        <v>26</v>
      </c>
      <c r="D282" t="s">
        <v>53</v>
      </c>
      <c r="E282">
        <v>15456</v>
      </c>
      <c r="F282" t="s">
        <v>32</v>
      </c>
      <c r="G282">
        <v>0</v>
      </c>
      <c r="H282" t="s">
        <v>35</v>
      </c>
    </row>
    <row r="283" spans="1:8" x14ac:dyDescent="0.3">
      <c r="A283" t="s">
        <v>323</v>
      </c>
      <c r="B283" t="s">
        <v>9</v>
      </c>
      <c r="C283" t="s">
        <v>42</v>
      </c>
      <c r="D283" t="s">
        <v>61</v>
      </c>
      <c r="E283">
        <v>54345</v>
      </c>
      <c r="F283" t="s">
        <v>32</v>
      </c>
      <c r="G283">
        <v>14</v>
      </c>
      <c r="H283" t="s">
        <v>35</v>
      </c>
    </row>
    <row r="284" spans="1:8" x14ac:dyDescent="0.3">
      <c r="A284" t="s">
        <v>324</v>
      </c>
      <c r="B284" t="s">
        <v>47</v>
      </c>
      <c r="C284" t="s">
        <v>16</v>
      </c>
      <c r="D284" t="s">
        <v>39</v>
      </c>
      <c r="E284">
        <v>92468</v>
      </c>
      <c r="F284" t="s">
        <v>32</v>
      </c>
      <c r="G284">
        <v>8</v>
      </c>
      <c r="H284" t="s">
        <v>19</v>
      </c>
    </row>
    <row r="285" spans="1:8" x14ac:dyDescent="0.3">
      <c r="A285" t="s">
        <v>325</v>
      </c>
      <c r="B285" t="s">
        <v>29</v>
      </c>
      <c r="C285" t="s">
        <v>10</v>
      </c>
      <c r="D285" t="s">
        <v>85</v>
      </c>
      <c r="E285">
        <v>19777</v>
      </c>
      <c r="F285" t="s">
        <v>32</v>
      </c>
      <c r="G285">
        <v>14</v>
      </c>
      <c r="H285" t="s">
        <v>19</v>
      </c>
    </row>
    <row r="286" spans="1:8" x14ac:dyDescent="0.3">
      <c r="A286" t="s">
        <v>326</v>
      </c>
      <c r="B286" t="s">
        <v>37</v>
      </c>
      <c r="C286" t="s">
        <v>16</v>
      </c>
      <c r="D286" t="s">
        <v>17</v>
      </c>
      <c r="E286">
        <v>115723</v>
      </c>
      <c r="F286" t="s">
        <v>12</v>
      </c>
      <c r="G286">
        <v>3</v>
      </c>
      <c r="H286" t="s">
        <v>35</v>
      </c>
    </row>
    <row r="287" spans="1:8" x14ac:dyDescent="0.3">
      <c r="A287" t="s">
        <v>327</v>
      </c>
      <c r="B287" t="s">
        <v>21</v>
      </c>
      <c r="C287" t="s">
        <v>16</v>
      </c>
      <c r="D287" t="s">
        <v>85</v>
      </c>
      <c r="E287">
        <v>58650</v>
      </c>
      <c r="F287" t="s">
        <v>18</v>
      </c>
      <c r="G287">
        <v>5</v>
      </c>
      <c r="H287" t="s">
        <v>13</v>
      </c>
    </row>
    <row r="288" spans="1:8" x14ac:dyDescent="0.3">
      <c r="A288" t="s">
        <v>328</v>
      </c>
      <c r="B288" t="s">
        <v>47</v>
      </c>
      <c r="C288" t="s">
        <v>10</v>
      </c>
      <c r="D288" t="s">
        <v>23</v>
      </c>
      <c r="E288">
        <v>102763</v>
      </c>
      <c r="F288" t="s">
        <v>18</v>
      </c>
      <c r="G288">
        <v>10</v>
      </c>
      <c r="H288" t="s">
        <v>19</v>
      </c>
    </row>
    <row r="289" spans="1:8" x14ac:dyDescent="0.3">
      <c r="A289" t="s">
        <v>329</v>
      </c>
      <c r="B289" t="s">
        <v>9</v>
      </c>
      <c r="C289" t="s">
        <v>42</v>
      </c>
      <c r="D289" t="s">
        <v>45</v>
      </c>
      <c r="E289">
        <v>25103</v>
      </c>
      <c r="F289" t="s">
        <v>12</v>
      </c>
      <c r="G289">
        <v>3</v>
      </c>
      <c r="H289" t="s">
        <v>35</v>
      </c>
    </row>
    <row r="290" spans="1:8" x14ac:dyDescent="0.3">
      <c r="A290" t="s">
        <v>330</v>
      </c>
      <c r="B290" t="s">
        <v>37</v>
      </c>
      <c r="C290" t="s">
        <v>55</v>
      </c>
      <c r="D290" t="s">
        <v>48</v>
      </c>
      <c r="E290">
        <v>69467</v>
      </c>
      <c r="F290" t="s">
        <v>12</v>
      </c>
      <c r="G290">
        <v>8</v>
      </c>
      <c r="H290" t="s">
        <v>19</v>
      </c>
    </row>
    <row r="291" spans="1:8" x14ac:dyDescent="0.3">
      <c r="A291" t="s">
        <v>331</v>
      </c>
      <c r="B291" t="s">
        <v>15</v>
      </c>
      <c r="C291" t="s">
        <v>22</v>
      </c>
      <c r="D291" t="s">
        <v>39</v>
      </c>
      <c r="E291">
        <v>17993</v>
      </c>
      <c r="F291" t="s">
        <v>12</v>
      </c>
      <c r="G291">
        <v>5</v>
      </c>
      <c r="H291" t="s">
        <v>19</v>
      </c>
    </row>
    <row r="292" spans="1:8" x14ac:dyDescent="0.3">
      <c r="A292" t="s">
        <v>332</v>
      </c>
      <c r="B292" t="s">
        <v>25</v>
      </c>
      <c r="C292" t="s">
        <v>10</v>
      </c>
      <c r="D292" t="s">
        <v>53</v>
      </c>
      <c r="E292">
        <v>64442</v>
      </c>
      <c r="F292" t="s">
        <v>18</v>
      </c>
      <c r="G292">
        <v>4</v>
      </c>
      <c r="H292" t="s">
        <v>19</v>
      </c>
    </row>
    <row r="293" spans="1:8" x14ac:dyDescent="0.3">
      <c r="A293" t="s">
        <v>333</v>
      </c>
      <c r="B293" t="s">
        <v>15</v>
      </c>
      <c r="C293" t="s">
        <v>22</v>
      </c>
      <c r="D293" t="s">
        <v>30</v>
      </c>
      <c r="E293">
        <v>69297</v>
      </c>
      <c r="F293" t="s">
        <v>32</v>
      </c>
      <c r="G293">
        <v>11</v>
      </c>
      <c r="H293" t="s">
        <v>35</v>
      </c>
    </row>
    <row r="294" spans="1:8" x14ac:dyDescent="0.3">
      <c r="A294" t="s">
        <v>334</v>
      </c>
      <c r="B294" t="s">
        <v>21</v>
      </c>
      <c r="C294" t="s">
        <v>42</v>
      </c>
      <c r="D294" t="s">
        <v>43</v>
      </c>
      <c r="E294">
        <v>23979</v>
      </c>
      <c r="F294" t="s">
        <v>18</v>
      </c>
      <c r="G294">
        <v>9</v>
      </c>
      <c r="H294" t="s">
        <v>35</v>
      </c>
    </row>
    <row r="295" spans="1:8" x14ac:dyDescent="0.3">
      <c r="A295" t="s">
        <v>335</v>
      </c>
      <c r="B295" t="s">
        <v>47</v>
      </c>
      <c r="C295" t="s">
        <v>42</v>
      </c>
      <c r="D295" t="s">
        <v>43</v>
      </c>
      <c r="E295">
        <v>34467</v>
      </c>
      <c r="F295" t="s">
        <v>18</v>
      </c>
      <c r="G295">
        <v>3</v>
      </c>
      <c r="H295" t="s">
        <v>19</v>
      </c>
    </row>
    <row r="296" spans="1:8" x14ac:dyDescent="0.3">
      <c r="A296" t="s">
        <v>336</v>
      </c>
      <c r="B296" t="s">
        <v>9</v>
      </c>
      <c r="C296" t="s">
        <v>42</v>
      </c>
      <c r="D296" t="s">
        <v>23</v>
      </c>
      <c r="E296">
        <v>48285</v>
      </c>
      <c r="F296" t="s">
        <v>18</v>
      </c>
      <c r="G296">
        <v>5</v>
      </c>
      <c r="H296" t="s">
        <v>19</v>
      </c>
    </row>
    <row r="297" spans="1:8" x14ac:dyDescent="0.3">
      <c r="A297" t="s">
        <v>337</v>
      </c>
      <c r="B297" t="s">
        <v>15</v>
      </c>
      <c r="C297" t="s">
        <v>22</v>
      </c>
      <c r="D297" t="s">
        <v>27</v>
      </c>
      <c r="E297">
        <v>94901</v>
      </c>
      <c r="F297" t="s">
        <v>18</v>
      </c>
      <c r="G297">
        <v>4</v>
      </c>
      <c r="H297" t="s">
        <v>35</v>
      </c>
    </row>
    <row r="298" spans="1:8" x14ac:dyDescent="0.3">
      <c r="A298" t="s">
        <v>338</v>
      </c>
      <c r="B298" t="s">
        <v>34</v>
      </c>
      <c r="C298" t="s">
        <v>42</v>
      </c>
      <c r="D298" t="s">
        <v>85</v>
      </c>
      <c r="E298">
        <v>30987</v>
      </c>
      <c r="F298" t="s">
        <v>32</v>
      </c>
      <c r="G298">
        <v>4</v>
      </c>
      <c r="H298" t="s">
        <v>13</v>
      </c>
    </row>
    <row r="299" spans="1:8" x14ac:dyDescent="0.3">
      <c r="A299" t="s">
        <v>339</v>
      </c>
      <c r="B299" t="s">
        <v>41</v>
      </c>
      <c r="C299" t="s">
        <v>10</v>
      </c>
      <c r="D299" t="s">
        <v>61</v>
      </c>
      <c r="E299">
        <v>42070</v>
      </c>
      <c r="F299" t="s">
        <v>32</v>
      </c>
      <c r="G299">
        <v>7</v>
      </c>
      <c r="H299" t="s">
        <v>19</v>
      </c>
    </row>
    <row r="300" spans="1:8" x14ac:dyDescent="0.3">
      <c r="A300" t="s">
        <v>340</v>
      </c>
      <c r="B300" t="s">
        <v>37</v>
      </c>
      <c r="C300" t="s">
        <v>42</v>
      </c>
      <c r="D300" t="s">
        <v>43</v>
      </c>
      <c r="E300">
        <v>88301</v>
      </c>
      <c r="F300" t="s">
        <v>12</v>
      </c>
      <c r="G300">
        <v>2</v>
      </c>
      <c r="H300" t="s">
        <v>19</v>
      </c>
    </row>
    <row r="301" spans="1:8" x14ac:dyDescent="0.3">
      <c r="A301" t="s">
        <v>341</v>
      </c>
      <c r="B301" t="s">
        <v>34</v>
      </c>
      <c r="C301" t="s">
        <v>16</v>
      </c>
      <c r="D301" t="s">
        <v>85</v>
      </c>
      <c r="E301">
        <v>147084</v>
      </c>
      <c r="F301" t="s">
        <v>12</v>
      </c>
      <c r="G301">
        <v>8</v>
      </c>
      <c r="H301" t="s">
        <v>13</v>
      </c>
    </row>
    <row r="302" spans="1:8" x14ac:dyDescent="0.3">
      <c r="A302" t="s">
        <v>342</v>
      </c>
      <c r="B302" t="s">
        <v>37</v>
      </c>
      <c r="C302" t="s">
        <v>16</v>
      </c>
      <c r="D302" t="s">
        <v>61</v>
      </c>
      <c r="E302">
        <v>43191</v>
      </c>
      <c r="F302" t="s">
        <v>32</v>
      </c>
      <c r="G302">
        <v>2</v>
      </c>
      <c r="H302" t="s">
        <v>35</v>
      </c>
    </row>
    <row r="303" spans="1:8" x14ac:dyDescent="0.3">
      <c r="A303" t="s">
        <v>343</v>
      </c>
      <c r="B303" t="s">
        <v>25</v>
      </c>
      <c r="C303" t="s">
        <v>55</v>
      </c>
      <c r="D303" t="s">
        <v>27</v>
      </c>
      <c r="E303">
        <v>36077</v>
      </c>
      <c r="F303" t="s">
        <v>12</v>
      </c>
      <c r="G303">
        <v>14</v>
      </c>
      <c r="H303" t="s">
        <v>13</v>
      </c>
    </row>
    <row r="304" spans="1:8" x14ac:dyDescent="0.3">
      <c r="A304" t="s">
        <v>344</v>
      </c>
      <c r="B304" t="s">
        <v>37</v>
      </c>
      <c r="C304" t="s">
        <v>55</v>
      </c>
      <c r="D304" t="s">
        <v>30</v>
      </c>
      <c r="E304">
        <v>61648</v>
      </c>
      <c r="F304" t="s">
        <v>18</v>
      </c>
      <c r="G304">
        <v>10</v>
      </c>
      <c r="H304" t="s">
        <v>13</v>
      </c>
    </row>
    <row r="305" spans="1:8" x14ac:dyDescent="0.3">
      <c r="A305" t="s">
        <v>345</v>
      </c>
      <c r="B305" t="s">
        <v>41</v>
      </c>
      <c r="C305" t="s">
        <v>10</v>
      </c>
      <c r="D305" t="s">
        <v>23</v>
      </c>
      <c r="E305">
        <v>15836</v>
      </c>
      <c r="F305" t="s">
        <v>32</v>
      </c>
      <c r="G305">
        <v>9</v>
      </c>
      <c r="H305" t="s">
        <v>13</v>
      </c>
    </row>
    <row r="306" spans="1:8" x14ac:dyDescent="0.3">
      <c r="A306" t="s">
        <v>346</v>
      </c>
      <c r="B306" t="s">
        <v>34</v>
      </c>
      <c r="C306" t="s">
        <v>26</v>
      </c>
      <c r="D306" t="s">
        <v>85</v>
      </c>
      <c r="E306">
        <v>33917</v>
      </c>
      <c r="F306" t="s">
        <v>32</v>
      </c>
      <c r="G306">
        <v>1</v>
      </c>
      <c r="H306" t="s">
        <v>13</v>
      </c>
    </row>
    <row r="307" spans="1:8" x14ac:dyDescent="0.3">
      <c r="A307" t="s">
        <v>347</v>
      </c>
      <c r="B307" t="s">
        <v>29</v>
      </c>
      <c r="C307" t="s">
        <v>10</v>
      </c>
      <c r="D307" t="s">
        <v>11</v>
      </c>
      <c r="E307">
        <v>114187</v>
      </c>
      <c r="F307" t="s">
        <v>32</v>
      </c>
      <c r="G307">
        <v>4</v>
      </c>
      <c r="H307" t="s">
        <v>35</v>
      </c>
    </row>
    <row r="308" spans="1:8" x14ac:dyDescent="0.3">
      <c r="A308" t="s">
        <v>348</v>
      </c>
      <c r="B308" t="s">
        <v>37</v>
      </c>
      <c r="C308" t="s">
        <v>55</v>
      </c>
      <c r="D308" t="s">
        <v>17</v>
      </c>
      <c r="E308">
        <v>29849</v>
      </c>
      <c r="F308" t="s">
        <v>18</v>
      </c>
      <c r="G308">
        <v>0</v>
      </c>
      <c r="H308" t="s">
        <v>13</v>
      </c>
    </row>
    <row r="309" spans="1:8" x14ac:dyDescent="0.3">
      <c r="A309" t="s">
        <v>349</v>
      </c>
      <c r="B309" t="s">
        <v>21</v>
      </c>
      <c r="C309" t="s">
        <v>55</v>
      </c>
      <c r="D309" t="s">
        <v>48</v>
      </c>
      <c r="E309">
        <v>103498</v>
      </c>
      <c r="F309" t="s">
        <v>12</v>
      </c>
      <c r="G309">
        <v>7</v>
      </c>
      <c r="H309" t="s">
        <v>35</v>
      </c>
    </row>
    <row r="310" spans="1:8" x14ac:dyDescent="0.3">
      <c r="A310" t="s">
        <v>350</v>
      </c>
      <c r="B310" t="s">
        <v>34</v>
      </c>
      <c r="C310" t="s">
        <v>42</v>
      </c>
      <c r="D310" t="s">
        <v>61</v>
      </c>
      <c r="E310">
        <v>89790</v>
      </c>
      <c r="F310" t="s">
        <v>12</v>
      </c>
      <c r="G310">
        <v>6</v>
      </c>
      <c r="H310" t="s">
        <v>19</v>
      </c>
    </row>
    <row r="311" spans="1:8" x14ac:dyDescent="0.3">
      <c r="A311" t="s">
        <v>351</v>
      </c>
      <c r="B311" t="s">
        <v>29</v>
      </c>
      <c r="C311" t="s">
        <v>10</v>
      </c>
      <c r="D311" t="s">
        <v>39</v>
      </c>
      <c r="E311">
        <v>103220</v>
      </c>
      <c r="F311" t="s">
        <v>12</v>
      </c>
      <c r="G311">
        <v>6</v>
      </c>
      <c r="H311" t="s">
        <v>35</v>
      </c>
    </row>
    <row r="312" spans="1:8" x14ac:dyDescent="0.3">
      <c r="A312" t="s">
        <v>352</v>
      </c>
      <c r="B312" t="s">
        <v>9</v>
      </c>
      <c r="C312" t="s">
        <v>26</v>
      </c>
      <c r="D312" t="s">
        <v>61</v>
      </c>
      <c r="E312">
        <v>104821</v>
      </c>
      <c r="F312" t="s">
        <v>18</v>
      </c>
      <c r="G312">
        <v>9</v>
      </c>
      <c r="H312" t="s">
        <v>19</v>
      </c>
    </row>
    <row r="313" spans="1:8" x14ac:dyDescent="0.3">
      <c r="A313" t="s">
        <v>353</v>
      </c>
      <c r="B313" t="s">
        <v>15</v>
      </c>
      <c r="C313" t="s">
        <v>22</v>
      </c>
      <c r="D313" t="s">
        <v>53</v>
      </c>
      <c r="E313">
        <v>72094</v>
      </c>
      <c r="F313" t="s">
        <v>18</v>
      </c>
      <c r="G313">
        <v>8</v>
      </c>
      <c r="H313" t="s">
        <v>19</v>
      </c>
    </row>
    <row r="314" spans="1:8" x14ac:dyDescent="0.3">
      <c r="A314" t="s">
        <v>354</v>
      </c>
      <c r="B314" t="s">
        <v>41</v>
      </c>
      <c r="C314" t="s">
        <v>26</v>
      </c>
      <c r="D314" t="s">
        <v>30</v>
      </c>
      <c r="E314">
        <v>97619</v>
      </c>
      <c r="F314" t="s">
        <v>32</v>
      </c>
      <c r="G314">
        <v>11</v>
      </c>
      <c r="H314" t="s">
        <v>19</v>
      </c>
    </row>
    <row r="315" spans="1:8" x14ac:dyDescent="0.3">
      <c r="A315" t="s">
        <v>355</v>
      </c>
      <c r="B315" t="s">
        <v>25</v>
      </c>
      <c r="C315" t="s">
        <v>26</v>
      </c>
      <c r="D315" t="s">
        <v>48</v>
      </c>
      <c r="E315">
        <v>15255</v>
      </c>
      <c r="F315" t="s">
        <v>32</v>
      </c>
      <c r="G315">
        <v>4</v>
      </c>
      <c r="H315" t="s">
        <v>19</v>
      </c>
    </row>
    <row r="316" spans="1:8" x14ac:dyDescent="0.3">
      <c r="A316" t="s">
        <v>356</v>
      </c>
      <c r="B316" t="s">
        <v>34</v>
      </c>
      <c r="C316" t="s">
        <v>26</v>
      </c>
      <c r="D316" t="s">
        <v>23</v>
      </c>
      <c r="E316">
        <v>112949</v>
      </c>
      <c r="F316" t="s">
        <v>32</v>
      </c>
      <c r="G316">
        <v>3</v>
      </c>
      <c r="H316" t="s">
        <v>13</v>
      </c>
    </row>
    <row r="317" spans="1:8" x14ac:dyDescent="0.3">
      <c r="A317" t="s">
        <v>357</v>
      </c>
      <c r="B317" t="s">
        <v>47</v>
      </c>
      <c r="C317" t="s">
        <v>26</v>
      </c>
      <c r="D317" t="s">
        <v>85</v>
      </c>
      <c r="E317">
        <v>137845</v>
      </c>
      <c r="F317" t="s">
        <v>32</v>
      </c>
      <c r="G317">
        <v>9</v>
      </c>
      <c r="H317" t="s">
        <v>19</v>
      </c>
    </row>
    <row r="318" spans="1:8" x14ac:dyDescent="0.3">
      <c r="A318" t="s">
        <v>358</v>
      </c>
      <c r="B318" t="s">
        <v>25</v>
      </c>
      <c r="C318" t="s">
        <v>55</v>
      </c>
      <c r="D318" t="s">
        <v>61</v>
      </c>
      <c r="E318">
        <v>143374</v>
      </c>
      <c r="F318" t="s">
        <v>32</v>
      </c>
      <c r="G318">
        <v>6</v>
      </c>
      <c r="H318" t="s">
        <v>19</v>
      </c>
    </row>
    <row r="319" spans="1:8" x14ac:dyDescent="0.3">
      <c r="A319" t="s">
        <v>359</v>
      </c>
      <c r="B319" t="s">
        <v>50</v>
      </c>
      <c r="C319" t="s">
        <v>26</v>
      </c>
      <c r="D319" t="s">
        <v>30</v>
      </c>
      <c r="E319">
        <v>48695</v>
      </c>
      <c r="F319" t="s">
        <v>18</v>
      </c>
      <c r="G319">
        <v>4</v>
      </c>
      <c r="H319" t="s">
        <v>35</v>
      </c>
    </row>
    <row r="320" spans="1:8" x14ac:dyDescent="0.3">
      <c r="A320" t="s">
        <v>360</v>
      </c>
      <c r="B320" t="s">
        <v>47</v>
      </c>
      <c r="C320" t="s">
        <v>10</v>
      </c>
      <c r="D320" t="s">
        <v>30</v>
      </c>
      <c r="E320">
        <v>39821</v>
      </c>
      <c r="F320" t="s">
        <v>18</v>
      </c>
      <c r="G320">
        <v>7</v>
      </c>
      <c r="H320" t="s">
        <v>19</v>
      </c>
    </row>
    <row r="321" spans="1:8" x14ac:dyDescent="0.3">
      <c r="A321" t="s">
        <v>361</v>
      </c>
      <c r="B321" t="s">
        <v>37</v>
      </c>
      <c r="C321" t="s">
        <v>10</v>
      </c>
      <c r="D321" t="s">
        <v>11</v>
      </c>
      <c r="E321">
        <v>57826</v>
      </c>
      <c r="F321" t="s">
        <v>32</v>
      </c>
      <c r="G321">
        <v>15</v>
      </c>
      <c r="H321" t="s">
        <v>13</v>
      </c>
    </row>
    <row r="322" spans="1:8" x14ac:dyDescent="0.3">
      <c r="A322" t="s">
        <v>362</v>
      </c>
      <c r="B322" t="s">
        <v>34</v>
      </c>
      <c r="C322" t="s">
        <v>26</v>
      </c>
      <c r="D322" t="s">
        <v>17</v>
      </c>
      <c r="E322">
        <v>70988</v>
      </c>
      <c r="F322" t="s">
        <v>18</v>
      </c>
      <c r="G322">
        <v>5</v>
      </c>
      <c r="H322" t="s">
        <v>35</v>
      </c>
    </row>
    <row r="323" spans="1:8" x14ac:dyDescent="0.3">
      <c r="A323" t="s">
        <v>363</v>
      </c>
      <c r="B323" t="s">
        <v>21</v>
      </c>
      <c r="C323" t="s">
        <v>10</v>
      </c>
      <c r="D323" t="s">
        <v>27</v>
      </c>
      <c r="E323">
        <v>145853</v>
      </c>
      <c r="F323" t="s">
        <v>12</v>
      </c>
      <c r="G323">
        <v>3</v>
      </c>
      <c r="H323" t="s">
        <v>13</v>
      </c>
    </row>
    <row r="324" spans="1:8" x14ac:dyDescent="0.3">
      <c r="A324" t="s">
        <v>364</v>
      </c>
      <c r="B324" t="s">
        <v>29</v>
      </c>
      <c r="C324" t="s">
        <v>55</v>
      </c>
      <c r="D324" t="s">
        <v>30</v>
      </c>
      <c r="E324">
        <v>127772</v>
      </c>
      <c r="F324" t="s">
        <v>18</v>
      </c>
      <c r="G324">
        <v>12</v>
      </c>
      <c r="H324" t="s">
        <v>35</v>
      </c>
    </row>
    <row r="325" spans="1:8" x14ac:dyDescent="0.3">
      <c r="A325" t="s">
        <v>365</v>
      </c>
      <c r="B325" t="s">
        <v>9</v>
      </c>
      <c r="C325" t="s">
        <v>42</v>
      </c>
      <c r="D325" t="s">
        <v>53</v>
      </c>
      <c r="E325">
        <v>143286</v>
      </c>
      <c r="F325" t="s">
        <v>12</v>
      </c>
      <c r="G325">
        <v>0</v>
      </c>
      <c r="H325" t="s">
        <v>35</v>
      </c>
    </row>
    <row r="326" spans="1:8" x14ac:dyDescent="0.3">
      <c r="A326" t="s">
        <v>366</v>
      </c>
      <c r="B326" t="s">
        <v>41</v>
      </c>
      <c r="C326" t="s">
        <v>42</v>
      </c>
      <c r="D326" t="s">
        <v>45</v>
      </c>
      <c r="E326">
        <v>96697</v>
      </c>
      <c r="F326" t="s">
        <v>18</v>
      </c>
      <c r="G326">
        <v>1</v>
      </c>
      <c r="H326" t="s">
        <v>19</v>
      </c>
    </row>
    <row r="327" spans="1:8" x14ac:dyDescent="0.3">
      <c r="A327" t="s">
        <v>367</v>
      </c>
      <c r="B327" t="s">
        <v>34</v>
      </c>
      <c r="C327" t="s">
        <v>10</v>
      </c>
      <c r="D327" t="s">
        <v>48</v>
      </c>
      <c r="E327">
        <v>127368</v>
      </c>
      <c r="F327" t="s">
        <v>12</v>
      </c>
      <c r="G327">
        <v>11</v>
      </c>
      <c r="H327" t="s">
        <v>13</v>
      </c>
    </row>
    <row r="328" spans="1:8" x14ac:dyDescent="0.3">
      <c r="A328" t="s">
        <v>368</v>
      </c>
      <c r="B328" t="s">
        <v>34</v>
      </c>
      <c r="C328" t="s">
        <v>26</v>
      </c>
      <c r="D328" t="s">
        <v>23</v>
      </c>
      <c r="E328">
        <v>31131</v>
      </c>
      <c r="F328" t="s">
        <v>32</v>
      </c>
      <c r="G328">
        <v>10</v>
      </c>
      <c r="H328" t="s">
        <v>13</v>
      </c>
    </row>
    <row r="329" spans="1:8" x14ac:dyDescent="0.3">
      <c r="A329" t="s">
        <v>369</v>
      </c>
      <c r="B329" t="s">
        <v>9</v>
      </c>
      <c r="C329" t="s">
        <v>55</v>
      </c>
      <c r="D329" t="s">
        <v>39</v>
      </c>
      <c r="E329">
        <v>23499</v>
      </c>
      <c r="F329" t="s">
        <v>12</v>
      </c>
      <c r="G329">
        <v>0</v>
      </c>
      <c r="H329" t="s">
        <v>35</v>
      </c>
    </row>
    <row r="330" spans="1:8" x14ac:dyDescent="0.3">
      <c r="A330" t="s">
        <v>370</v>
      </c>
      <c r="B330" t="s">
        <v>50</v>
      </c>
      <c r="C330" t="s">
        <v>22</v>
      </c>
      <c r="D330" t="s">
        <v>17</v>
      </c>
      <c r="E330">
        <v>80169</v>
      </c>
      <c r="F330" t="s">
        <v>32</v>
      </c>
      <c r="G330">
        <v>2</v>
      </c>
      <c r="H330" t="s">
        <v>19</v>
      </c>
    </row>
    <row r="331" spans="1:8" x14ac:dyDescent="0.3">
      <c r="A331" t="s">
        <v>371</v>
      </c>
      <c r="B331" t="s">
        <v>37</v>
      </c>
      <c r="C331" t="s">
        <v>16</v>
      </c>
      <c r="D331" t="s">
        <v>85</v>
      </c>
      <c r="E331">
        <v>124581</v>
      </c>
      <c r="F331" t="s">
        <v>32</v>
      </c>
      <c r="G331">
        <v>12</v>
      </c>
      <c r="H331" t="s">
        <v>35</v>
      </c>
    </row>
    <row r="332" spans="1:8" x14ac:dyDescent="0.3">
      <c r="A332" t="s">
        <v>372</v>
      </c>
      <c r="B332" t="s">
        <v>41</v>
      </c>
      <c r="C332" t="s">
        <v>55</v>
      </c>
      <c r="D332" t="s">
        <v>23</v>
      </c>
      <c r="E332">
        <v>140708</v>
      </c>
      <c r="F332" t="s">
        <v>18</v>
      </c>
      <c r="G332">
        <v>7</v>
      </c>
      <c r="H332" t="s">
        <v>19</v>
      </c>
    </row>
    <row r="333" spans="1:8" x14ac:dyDescent="0.3">
      <c r="A333" t="s">
        <v>373</v>
      </c>
      <c r="B333" t="s">
        <v>25</v>
      </c>
      <c r="C333" t="s">
        <v>22</v>
      </c>
      <c r="D333" t="s">
        <v>39</v>
      </c>
      <c r="E333">
        <v>35982</v>
      </c>
      <c r="F333" t="s">
        <v>32</v>
      </c>
      <c r="G333">
        <v>8</v>
      </c>
      <c r="H333" t="s">
        <v>13</v>
      </c>
    </row>
    <row r="334" spans="1:8" x14ac:dyDescent="0.3">
      <c r="A334" t="s">
        <v>374</v>
      </c>
      <c r="B334" t="s">
        <v>34</v>
      </c>
      <c r="C334" t="s">
        <v>26</v>
      </c>
      <c r="D334" t="s">
        <v>23</v>
      </c>
      <c r="E334">
        <v>25312</v>
      </c>
      <c r="F334" t="s">
        <v>32</v>
      </c>
      <c r="G334">
        <v>8</v>
      </c>
      <c r="H334" t="s">
        <v>19</v>
      </c>
    </row>
    <row r="335" spans="1:8" x14ac:dyDescent="0.3">
      <c r="A335" t="s">
        <v>375</v>
      </c>
      <c r="B335" t="s">
        <v>25</v>
      </c>
      <c r="C335" t="s">
        <v>22</v>
      </c>
      <c r="D335" t="s">
        <v>53</v>
      </c>
      <c r="E335">
        <v>91142</v>
      </c>
      <c r="F335" t="s">
        <v>12</v>
      </c>
      <c r="G335">
        <v>7</v>
      </c>
      <c r="H335" t="s">
        <v>35</v>
      </c>
    </row>
    <row r="336" spans="1:8" x14ac:dyDescent="0.3">
      <c r="A336" t="s">
        <v>376</v>
      </c>
      <c r="B336" t="s">
        <v>34</v>
      </c>
      <c r="C336" t="s">
        <v>10</v>
      </c>
      <c r="D336" t="s">
        <v>27</v>
      </c>
      <c r="E336">
        <v>17585</v>
      </c>
      <c r="F336" t="s">
        <v>18</v>
      </c>
      <c r="G336">
        <v>4</v>
      </c>
      <c r="H336" t="s">
        <v>13</v>
      </c>
    </row>
    <row r="337" spans="1:8" x14ac:dyDescent="0.3">
      <c r="A337" t="s">
        <v>377</v>
      </c>
      <c r="B337" t="s">
        <v>50</v>
      </c>
      <c r="C337" t="s">
        <v>16</v>
      </c>
      <c r="D337" t="s">
        <v>43</v>
      </c>
      <c r="E337">
        <v>26013</v>
      </c>
      <c r="F337" t="s">
        <v>12</v>
      </c>
      <c r="G337">
        <v>11</v>
      </c>
      <c r="H337" t="s">
        <v>19</v>
      </c>
    </row>
    <row r="338" spans="1:8" x14ac:dyDescent="0.3">
      <c r="A338" t="s">
        <v>378</v>
      </c>
      <c r="B338" t="s">
        <v>50</v>
      </c>
      <c r="C338" t="s">
        <v>26</v>
      </c>
      <c r="D338" t="s">
        <v>45</v>
      </c>
      <c r="E338">
        <v>21295</v>
      </c>
      <c r="F338" t="s">
        <v>32</v>
      </c>
      <c r="G338">
        <v>12</v>
      </c>
      <c r="H338" t="s">
        <v>13</v>
      </c>
    </row>
    <row r="339" spans="1:8" x14ac:dyDescent="0.3">
      <c r="A339" t="s">
        <v>379</v>
      </c>
      <c r="B339" t="s">
        <v>34</v>
      </c>
      <c r="C339" t="s">
        <v>16</v>
      </c>
      <c r="D339" t="s">
        <v>45</v>
      </c>
      <c r="E339">
        <v>147381</v>
      </c>
      <c r="F339" t="s">
        <v>12</v>
      </c>
      <c r="G339">
        <v>1</v>
      </c>
      <c r="H339" t="s">
        <v>19</v>
      </c>
    </row>
    <row r="340" spans="1:8" x14ac:dyDescent="0.3">
      <c r="A340" t="s">
        <v>380</v>
      </c>
      <c r="B340" t="s">
        <v>15</v>
      </c>
      <c r="C340" t="s">
        <v>55</v>
      </c>
      <c r="D340" t="s">
        <v>53</v>
      </c>
      <c r="E340">
        <v>98711</v>
      </c>
      <c r="F340" t="s">
        <v>12</v>
      </c>
      <c r="G340">
        <v>14</v>
      </c>
      <c r="H340" t="s">
        <v>35</v>
      </c>
    </row>
    <row r="341" spans="1:8" x14ac:dyDescent="0.3">
      <c r="A341" t="s">
        <v>381</v>
      </c>
      <c r="B341" t="s">
        <v>15</v>
      </c>
      <c r="C341" t="s">
        <v>10</v>
      </c>
      <c r="D341" t="s">
        <v>23</v>
      </c>
      <c r="E341">
        <v>100122</v>
      </c>
      <c r="F341" t="s">
        <v>12</v>
      </c>
      <c r="G341">
        <v>6</v>
      </c>
      <c r="H341" t="s">
        <v>35</v>
      </c>
    </row>
    <row r="342" spans="1:8" x14ac:dyDescent="0.3">
      <c r="A342" t="s">
        <v>382</v>
      </c>
      <c r="B342" t="s">
        <v>9</v>
      </c>
      <c r="C342" t="s">
        <v>22</v>
      </c>
      <c r="D342" t="s">
        <v>11</v>
      </c>
      <c r="E342">
        <v>142460</v>
      </c>
      <c r="F342" t="s">
        <v>12</v>
      </c>
      <c r="G342">
        <v>4</v>
      </c>
      <c r="H342" t="s">
        <v>19</v>
      </c>
    </row>
    <row r="343" spans="1:8" x14ac:dyDescent="0.3">
      <c r="A343" t="s">
        <v>383</v>
      </c>
      <c r="B343" t="s">
        <v>25</v>
      </c>
      <c r="C343" t="s">
        <v>16</v>
      </c>
      <c r="D343" t="s">
        <v>11</v>
      </c>
      <c r="E343">
        <v>49960</v>
      </c>
      <c r="F343" t="s">
        <v>18</v>
      </c>
      <c r="G343">
        <v>11</v>
      </c>
      <c r="H343" t="s">
        <v>19</v>
      </c>
    </row>
    <row r="344" spans="1:8" x14ac:dyDescent="0.3">
      <c r="A344" t="s">
        <v>384</v>
      </c>
      <c r="B344" t="s">
        <v>47</v>
      </c>
      <c r="C344" t="s">
        <v>16</v>
      </c>
      <c r="D344" t="s">
        <v>45</v>
      </c>
      <c r="E344">
        <v>105437</v>
      </c>
      <c r="F344" t="s">
        <v>12</v>
      </c>
      <c r="G344">
        <v>1</v>
      </c>
      <c r="H344" t="s">
        <v>13</v>
      </c>
    </row>
    <row r="345" spans="1:8" x14ac:dyDescent="0.3">
      <c r="A345" t="s">
        <v>385</v>
      </c>
      <c r="B345" t="s">
        <v>50</v>
      </c>
      <c r="C345" t="s">
        <v>22</v>
      </c>
      <c r="D345" t="s">
        <v>85</v>
      </c>
      <c r="E345">
        <v>11646</v>
      </c>
      <c r="F345" t="s">
        <v>32</v>
      </c>
      <c r="G345">
        <v>9</v>
      </c>
      <c r="H345" t="s">
        <v>13</v>
      </c>
    </row>
    <row r="346" spans="1:8" x14ac:dyDescent="0.3">
      <c r="A346" t="s">
        <v>386</v>
      </c>
      <c r="B346" t="s">
        <v>15</v>
      </c>
      <c r="C346" t="s">
        <v>16</v>
      </c>
      <c r="D346" t="s">
        <v>48</v>
      </c>
      <c r="E346">
        <v>120212</v>
      </c>
      <c r="F346" t="s">
        <v>32</v>
      </c>
      <c r="G346">
        <v>7</v>
      </c>
      <c r="H346" t="s">
        <v>13</v>
      </c>
    </row>
    <row r="347" spans="1:8" x14ac:dyDescent="0.3">
      <c r="A347" t="s">
        <v>387</v>
      </c>
      <c r="B347" t="s">
        <v>37</v>
      </c>
      <c r="C347" t="s">
        <v>10</v>
      </c>
      <c r="D347" t="s">
        <v>85</v>
      </c>
      <c r="E347">
        <v>112744</v>
      </c>
      <c r="F347" t="s">
        <v>32</v>
      </c>
      <c r="G347">
        <v>5</v>
      </c>
      <c r="H347" t="s">
        <v>13</v>
      </c>
    </row>
    <row r="348" spans="1:8" x14ac:dyDescent="0.3">
      <c r="A348" t="s">
        <v>388</v>
      </c>
      <c r="B348" t="s">
        <v>9</v>
      </c>
      <c r="C348" t="s">
        <v>16</v>
      </c>
      <c r="D348" t="s">
        <v>61</v>
      </c>
      <c r="E348">
        <v>45223</v>
      </c>
      <c r="F348" t="s">
        <v>32</v>
      </c>
      <c r="G348">
        <v>13</v>
      </c>
      <c r="H348" t="s">
        <v>35</v>
      </c>
    </row>
    <row r="349" spans="1:8" x14ac:dyDescent="0.3">
      <c r="A349" t="s">
        <v>389</v>
      </c>
      <c r="B349" t="s">
        <v>41</v>
      </c>
      <c r="C349" t="s">
        <v>42</v>
      </c>
      <c r="D349" t="s">
        <v>85</v>
      </c>
      <c r="E349">
        <v>69126</v>
      </c>
      <c r="F349" t="s">
        <v>12</v>
      </c>
      <c r="G349">
        <v>9</v>
      </c>
      <c r="H349" t="s">
        <v>35</v>
      </c>
    </row>
    <row r="350" spans="1:8" x14ac:dyDescent="0.3">
      <c r="A350" t="s">
        <v>390</v>
      </c>
      <c r="B350" t="s">
        <v>50</v>
      </c>
      <c r="C350" t="s">
        <v>16</v>
      </c>
      <c r="D350" t="s">
        <v>39</v>
      </c>
      <c r="E350">
        <v>13172</v>
      </c>
      <c r="F350" t="s">
        <v>32</v>
      </c>
      <c r="G350">
        <v>9</v>
      </c>
      <c r="H350" t="s">
        <v>13</v>
      </c>
    </row>
    <row r="351" spans="1:8" x14ac:dyDescent="0.3">
      <c r="A351" t="s">
        <v>391</v>
      </c>
      <c r="B351" t="s">
        <v>29</v>
      </c>
      <c r="C351" t="s">
        <v>42</v>
      </c>
      <c r="D351" t="s">
        <v>48</v>
      </c>
      <c r="E351">
        <v>58887</v>
      </c>
      <c r="F351" t="s">
        <v>12</v>
      </c>
      <c r="G351">
        <v>7</v>
      </c>
      <c r="H351" t="s">
        <v>35</v>
      </c>
    </row>
    <row r="352" spans="1:8" x14ac:dyDescent="0.3">
      <c r="A352" t="s">
        <v>392</v>
      </c>
      <c r="B352" t="s">
        <v>15</v>
      </c>
      <c r="C352" t="s">
        <v>55</v>
      </c>
      <c r="D352" t="s">
        <v>85</v>
      </c>
      <c r="E352">
        <v>101399</v>
      </c>
      <c r="F352" t="s">
        <v>12</v>
      </c>
      <c r="G352">
        <v>10</v>
      </c>
      <c r="H352" t="s">
        <v>13</v>
      </c>
    </row>
    <row r="353" spans="1:8" x14ac:dyDescent="0.3">
      <c r="A353" t="s">
        <v>393</v>
      </c>
      <c r="B353" t="s">
        <v>47</v>
      </c>
      <c r="C353" t="s">
        <v>26</v>
      </c>
      <c r="D353" t="s">
        <v>23</v>
      </c>
      <c r="E353">
        <v>117090</v>
      </c>
      <c r="F353" t="s">
        <v>18</v>
      </c>
      <c r="G353">
        <v>4</v>
      </c>
      <c r="H353" t="s">
        <v>13</v>
      </c>
    </row>
    <row r="354" spans="1:8" x14ac:dyDescent="0.3">
      <c r="A354" t="s">
        <v>394</v>
      </c>
      <c r="B354" t="s">
        <v>21</v>
      </c>
      <c r="C354" t="s">
        <v>10</v>
      </c>
      <c r="D354" t="s">
        <v>61</v>
      </c>
      <c r="E354">
        <v>139371</v>
      </c>
      <c r="F354" t="s">
        <v>12</v>
      </c>
      <c r="G354">
        <v>7</v>
      </c>
      <c r="H354" t="s">
        <v>35</v>
      </c>
    </row>
    <row r="355" spans="1:8" x14ac:dyDescent="0.3">
      <c r="A355" t="s">
        <v>395</v>
      </c>
      <c r="B355" t="s">
        <v>47</v>
      </c>
      <c r="C355" t="s">
        <v>10</v>
      </c>
      <c r="D355" t="s">
        <v>53</v>
      </c>
      <c r="E355">
        <v>119324</v>
      </c>
      <c r="F355" t="s">
        <v>18</v>
      </c>
      <c r="G355">
        <v>1</v>
      </c>
      <c r="H355" t="s">
        <v>19</v>
      </c>
    </row>
    <row r="356" spans="1:8" x14ac:dyDescent="0.3">
      <c r="A356" t="s">
        <v>396</v>
      </c>
      <c r="B356" t="s">
        <v>41</v>
      </c>
      <c r="C356" t="s">
        <v>10</v>
      </c>
      <c r="D356" t="s">
        <v>23</v>
      </c>
      <c r="E356">
        <v>111170</v>
      </c>
      <c r="F356" t="s">
        <v>32</v>
      </c>
      <c r="G356">
        <v>15</v>
      </c>
      <c r="H356" t="s">
        <v>35</v>
      </c>
    </row>
    <row r="357" spans="1:8" x14ac:dyDescent="0.3">
      <c r="A357" t="s">
        <v>397</v>
      </c>
      <c r="B357" t="s">
        <v>9</v>
      </c>
      <c r="C357" t="s">
        <v>22</v>
      </c>
      <c r="D357" t="s">
        <v>30</v>
      </c>
      <c r="E357">
        <v>127639</v>
      </c>
      <c r="F357" t="s">
        <v>32</v>
      </c>
      <c r="G357">
        <v>3</v>
      </c>
      <c r="H357" t="s">
        <v>13</v>
      </c>
    </row>
    <row r="358" spans="1:8" x14ac:dyDescent="0.3">
      <c r="A358" t="s">
        <v>398</v>
      </c>
      <c r="B358" t="s">
        <v>21</v>
      </c>
      <c r="C358" t="s">
        <v>16</v>
      </c>
      <c r="D358" t="s">
        <v>43</v>
      </c>
      <c r="E358">
        <v>126259</v>
      </c>
      <c r="F358" t="s">
        <v>12</v>
      </c>
      <c r="G358">
        <v>5</v>
      </c>
      <c r="H358" t="s">
        <v>19</v>
      </c>
    </row>
    <row r="359" spans="1:8" x14ac:dyDescent="0.3">
      <c r="A359" t="s">
        <v>399</v>
      </c>
      <c r="B359" t="s">
        <v>29</v>
      </c>
      <c r="C359" t="s">
        <v>26</v>
      </c>
      <c r="D359" t="s">
        <v>23</v>
      </c>
      <c r="E359">
        <v>116051</v>
      </c>
      <c r="F359" t="s">
        <v>32</v>
      </c>
      <c r="G359">
        <v>5</v>
      </c>
      <c r="H359" t="s">
        <v>35</v>
      </c>
    </row>
    <row r="360" spans="1:8" x14ac:dyDescent="0.3">
      <c r="A360" t="s">
        <v>400</v>
      </c>
      <c r="B360" t="s">
        <v>41</v>
      </c>
      <c r="C360" t="s">
        <v>42</v>
      </c>
      <c r="D360" t="s">
        <v>23</v>
      </c>
      <c r="E360">
        <v>16145</v>
      </c>
      <c r="F360" t="s">
        <v>18</v>
      </c>
      <c r="G360">
        <v>9</v>
      </c>
      <c r="H360" t="s">
        <v>19</v>
      </c>
    </row>
    <row r="361" spans="1:8" x14ac:dyDescent="0.3">
      <c r="A361" t="s">
        <v>401</v>
      </c>
      <c r="B361" t="s">
        <v>9</v>
      </c>
      <c r="C361" t="s">
        <v>26</v>
      </c>
      <c r="D361" t="s">
        <v>39</v>
      </c>
      <c r="E361">
        <v>134916</v>
      </c>
      <c r="F361" t="s">
        <v>12</v>
      </c>
      <c r="G361">
        <v>8</v>
      </c>
      <c r="H361" t="s">
        <v>19</v>
      </c>
    </row>
    <row r="362" spans="1:8" x14ac:dyDescent="0.3">
      <c r="A362" t="s">
        <v>402</v>
      </c>
      <c r="B362" t="s">
        <v>15</v>
      </c>
      <c r="C362" t="s">
        <v>16</v>
      </c>
      <c r="D362" t="s">
        <v>23</v>
      </c>
      <c r="E362">
        <v>62097</v>
      </c>
      <c r="F362" t="s">
        <v>12</v>
      </c>
      <c r="G362">
        <v>9</v>
      </c>
      <c r="H362" t="s">
        <v>35</v>
      </c>
    </row>
    <row r="363" spans="1:8" x14ac:dyDescent="0.3">
      <c r="A363" t="s">
        <v>403</v>
      </c>
      <c r="B363" t="s">
        <v>21</v>
      </c>
      <c r="C363" t="s">
        <v>26</v>
      </c>
      <c r="D363" t="s">
        <v>61</v>
      </c>
      <c r="E363">
        <v>120352</v>
      </c>
      <c r="F363" t="s">
        <v>32</v>
      </c>
      <c r="G363">
        <v>15</v>
      </c>
      <c r="H363" t="s">
        <v>13</v>
      </c>
    </row>
    <row r="364" spans="1:8" x14ac:dyDescent="0.3">
      <c r="A364" t="s">
        <v>404</v>
      </c>
      <c r="B364" t="s">
        <v>29</v>
      </c>
      <c r="C364" t="s">
        <v>55</v>
      </c>
      <c r="D364" t="s">
        <v>53</v>
      </c>
      <c r="E364">
        <v>21946</v>
      </c>
      <c r="F364" t="s">
        <v>32</v>
      </c>
      <c r="G364">
        <v>2</v>
      </c>
      <c r="H364" t="s">
        <v>35</v>
      </c>
    </row>
    <row r="365" spans="1:8" x14ac:dyDescent="0.3">
      <c r="A365" t="s">
        <v>405</v>
      </c>
      <c r="B365" t="s">
        <v>29</v>
      </c>
      <c r="C365" t="s">
        <v>16</v>
      </c>
      <c r="D365" t="s">
        <v>53</v>
      </c>
      <c r="E365">
        <v>129235</v>
      </c>
      <c r="F365" t="s">
        <v>12</v>
      </c>
      <c r="G365">
        <v>10</v>
      </c>
      <c r="H365" t="s">
        <v>13</v>
      </c>
    </row>
    <row r="366" spans="1:8" x14ac:dyDescent="0.3">
      <c r="A366" t="s">
        <v>406</v>
      </c>
      <c r="B366" t="s">
        <v>50</v>
      </c>
      <c r="C366" t="s">
        <v>26</v>
      </c>
      <c r="D366" t="s">
        <v>11</v>
      </c>
      <c r="E366">
        <v>35534</v>
      </c>
      <c r="F366" t="s">
        <v>18</v>
      </c>
      <c r="G366">
        <v>8</v>
      </c>
      <c r="H366" t="s">
        <v>19</v>
      </c>
    </row>
    <row r="367" spans="1:8" x14ac:dyDescent="0.3">
      <c r="A367" t="s">
        <v>407</v>
      </c>
      <c r="B367" t="s">
        <v>9</v>
      </c>
      <c r="C367" t="s">
        <v>16</v>
      </c>
      <c r="D367" t="s">
        <v>27</v>
      </c>
      <c r="E367">
        <v>72024</v>
      </c>
      <c r="F367" t="s">
        <v>18</v>
      </c>
      <c r="G367">
        <v>2</v>
      </c>
      <c r="H367" t="s">
        <v>13</v>
      </c>
    </row>
    <row r="368" spans="1:8" x14ac:dyDescent="0.3">
      <c r="A368" t="s">
        <v>408</v>
      </c>
      <c r="B368" t="s">
        <v>34</v>
      </c>
      <c r="C368" t="s">
        <v>16</v>
      </c>
      <c r="D368" t="s">
        <v>30</v>
      </c>
      <c r="E368">
        <v>69906</v>
      </c>
      <c r="F368" t="s">
        <v>12</v>
      </c>
      <c r="G368">
        <v>8</v>
      </c>
      <c r="H368" t="s">
        <v>19</v>
      </c>
    </row>
    <row r="369" spans="1:8" x14ac:dyDescent="0.3">
      <c r="A369" t="s">
        <v>409</v>
      </c>
      <c r="B369" t="s">
        <v>41</v>
      </c>
      <c r="C369" t="s">
        <v>16</v>
      </c>
      <c r="D369" t="s">
        <v>61</v>
      </c>
      <c r="E369">
        <v>95614</v>
      </c>
      <c r="F369" t="s">
        <v>32</v>
      </c>
      <c r="G369">
        <v>1</v>
      </c>
      <c r="H369" t="s">
        <v>13</v>
      </c>
    </row>
    <row r="370" spans="1:8" x14ac:dyDescent="0.3">
      <c r="A370" t="s">
        <v>410</v>
      </c>
      <c r="B370" t="s">
        <v>47</v>
      </c>
      <c r="C370" t="s">
        <v>55</v>
      </c>
      <c r="D370" t="s">
        <v>85</v>
      </c>
      <c r="E370">
        <v>123607</v>
      </c>
      <c r="F370" t="s">
        <v>18</v>
      </c>
      <c r="G370">
        <v>4</v>
      </c>
      <c r="H370" t="s">
        <v>19</v>
      </c>
    </row>
    <row r="371" spans="1:8" x14ac:dyDescent="0.3">
      <c r="A371" t="s">
        <v>411</v>
      </c>
      <c r="B371" t="s">
        <v>25</v>
      </c>
      <c r="C371" t="s">
        <v>10</v>
      </c>
      <c r="D371" t="s">
        <v>23</v>
      </c>
      <c r="E371">
        <v>41524</v>
      </c>
      <c r="F371" t="s">
        <v>12</v>
      </c>
      <c r="G371">
        <v>8</v>
      </c>
      <c r="H371" t="s">
        <v>35</v>
      </c>
    </row>
    <row r="372" spans="1:8" x14ac:dyDescent="0.3">
      <c r="A372" t="s">
        <v>412</v>
      </c>
      <c r="B372" t="s">
        <v>21</v>
      </c>
      <c r="C372" t="s">
        <v>26</v>
      </c>
      <c r="D372" t="s">
        <v>61</v>
      </c>
      <c r="E372">
        <v>82205</v>
      </c>
      <c r="F372" t="s">
        <v>18</v>
      </c>
      <c r="G372">
        <v>12</v>
      </c>
      <c r="H372" t="s">
        <v>35</v>
      </c>
    </row>
    <row r="373" spans="1:8" x14ac:dyDescent="0.3">
      <c r="A373" t="s">
        <v>413</v>
      </c>
      <c r="B373" t="s">
        <v>29</v>
      </c>
      <c r="C373" t="s">
        <v>42</v>
      </c>
      <c r="D373" t="s">
        <v>23</v>
      </c>
      <c r="E373">
        <v>102643</v>
      </c>
      <c r="F373" t="s">
        <v>18</v>
      </c>
      <c r="G373">
        <v>12</v>
      </c>
      <c r="H373" t="s">
        <v>19</v>
      </c>
    </row>
    <row r="374" spans="1:8" x14ac:dyDescent="0.3">
      <c r="A374" t="s">
        <v>414</v>
      </c>
      <c r="B374" t="s">
        <v>9</v>
      </c>
      <c r="C374" t="s">
        <v>22</v>
      </c>
      <c r="D374" t="s">
        <v>23</v>
      </c>
      <c r="E374">
        <v>49012</v>
      </c>
      <c r="F374" t="s">
        <v>18</v>
      </c>
      <c r="G374">
        <v>3</v>
      </c>
      <c r="H374" t="s">
        <v>19</v>
      </c>
    </row>
    <row r="375" spans="1:8" x14ac:dyDescent="0.3">
      <c r="A375" t="s">
        <v>415</v>
      </c>
      <c r="B375" t="s">
        <v>41</v>
      </c>
      <c r="C375" t="s">
        <v>55</v>
      </c>
      <c r="D375" t="s">
        <v>30</v>
      </c>
      <c r="E375">
        <v>103440</v>
      </c>
      <c r="F375" t="s">
        <v>18</v>
      </c>
      <c r="G375">
        <v>5</v>
      </c>
      <c r="H375" t="s">
        <v>19</v>
      </c>
    </row>
    <row r="376" spans="1:8" x14ac:dyDescent="0.3">
      <c r="A376" t="s">
        <v>416</v>
      </c>
      <c r="B376" t="s">
        <v>15</v>
      </c>
      <c r="C376" t="s">
        <v>55</v>
      </c>
      <c r="D376" t="s">
        <v>85</v>
      </c>
      <c r="E376">
        <v>130604</v>
      </c>
      <c r="F376" t="s">
        <v>12</v>
      </c>
      <c r="G376">
        <v>9</v>
      </c>
      <c r="H376" t="s">
        <v>19</v>
      </c>
    </row>
    <row r="377" spans="1:8" x14ac:dyDescent="0.3">
      <c r="A377" t="s">
        <v>417</v>
      </c>
      <c r="B377" t="s">
        <v>15</v>
      </c>
      <c r="C377" t="s">
        <v>26</v>
      </c>
      <c r="D377" t="s">
        <v>30</v>
      </c>
      <c r="E377">
        <v>104778</v>
      </c>
      <c r="F377" t="s">
        <v>12</v>
      </c>
      <c r="G377">
        <v>11</v>
      </c>
      <c r="H377" t="s">
        <v>19</v>
      </c>
    </row>
    <row r="378" spans="1:8" x14ac:dyDescent="0.3">
      <c r="A378" t="s">
        <v>418</v>
      </c>
      <c r="B378" t="s">
        <v>15</v>
      </c>
      <c r="C378" t="s">
        <v>16</v>
      </c>
      <c r="D378" t="s">
        <v>23</v>
      </c>
      <c r="E378">
        <v>42744</v>
      </c>
      <c r="F378" t="s">
        <v>32</v>
      </c>
      <c r="G378">
        <v>5</v>
      </c>
      <c r="H378" t="s">
        <v>13</v>
      </c>
    </row>
    <row r="379" spans="1:8" x14ac:dyDescent="0.3">
      <c r="A379" t="s">
        <v>419</v>
      </c>
      <c r="B379" t="s">
        <v>37</v>
      </c>
      <c r="C379" t="s">
        <v>26</v>
      </c>
      <c r="D379" t="s">
        <v>27</v>
      </c>
      <c r="E379">
        <v>125774</v>
      </c>
      <c r="F379" t="s">
        <v>32</v>
      </c>
      <c r="G379">
        <v>11</v>
      </c>
      <c r="H379" t="s">
        <v>19</v>
      </c>
    </row>
    <row r="380" spans="1:8" x14ac:dyDescent="0.3">
      <c r="A380" t="s">
        <v>420</v>
      </c>
      <c r="B380" t="s">
        <v>15</v>
      </c>
      <c r="C380" t="s">
        <v>26</v>
      </c>
      <c r="D380" t="s">
        <v>61</v>
      </c>
      <c r="E380">
        <v>95172</v>
      </c>
      <c r="F380" t="s">
        <v>32</v>
      </c>
      <c r="G380">
        <v>9</v>
      </c>
      <c r="H380" t="s">
        <v>13</v>
      </c>
    </row>
    <row r="381" spans="1:8" x14ac:dyDescent="0.3">
      <c r="A381" t="s">
        <v>421</v>
      </c>
      <c r="B381" t="s">
        <v>41</v>
      </c>
      <c r="C381" t="s">
        <v>22</v>
      </c>
      <c r="D381" t="s">
        <v>45</v>
      </c>
      <c r="E381">
        <v>52811</v>
      </c>
      <c r="F381" t="s">
        <v>32</v>
      </c>
      <c r="G381">
        <v>11</v>
      </c>
      <c r="H381" t="s">
        <v>19</v>
      </c>
    </row>
    <row r="382" spans="1:8" x14ac:dyDescent="0.3">
      <c r="A382" t="s">
        <v>422</v>
      </c>
      <c r="B382" t="s">
        <v>47</v>
      </c>
      <c r="C382" t="s">
        <v>42</v>
      </c>
      <c r="D382" t="s">
        <v>43</v>
      </c>
      <c r="E382">
        <v>124922</v>
      </c>
      <c r="F382" t="s">
        <v>12</v>
      </c>
      <c r="G382">
        <v>13</v>
      </c>
      <c r="H382" t="s">
        <v>13</v>
      </c>
    </row>
    <row r="383" spans="1:8" x14ac:dyDescent="0.3">
      <c r="A383" t="s">
        <v>423</v>
      </c>
      <c r="B383" t="s">
        <v>29</v>
      </c>
      <c r="C383" t="s">
        <v>10</v>
      </c>
      <c r="D383" t="s">
        <v>39</v>
      </c>
      <c r="E383">
        <v>16816</v>
      </c>
      <c r="F383" t="s">
        <v>32</v>
      </c>
      <c r="G383">
        <v>2</v>
      </c>
      <c r="H383" t="s">
        <v>19</v>
      </c>
    </row>
    <row r="384" spans="1:8" x14ac:dyDescent="0.3">
      <c r="A384" t="s">
        <v>424</v>
      </c>
      <c r="B384" t="s">
        <v>9</v>
      </c>
      <c r="C384" t="s">
        <v>26</v>
      </c>
      <c r="D384" t="s">
        <v>85</v>
      </c>
      <c r="E384">
        <v>81893</v>
      </c>
      <c r="F384" t="s">
        <v>32</v>
      </c>
      <c r="G384">
        <v>9</v>
      </c>
      <c r="H384" t="s">
        <v>19</v>
      </c>
    </row>
    <row r="385" spans="1:8" x14ac:dyDescent="0.3">
      <c r="A385" t="s">
        <v>425</v>
      </c>
      <c r="B385" t="s">
        <v>29</v>
      </c>
      <c r="C385" t="s">
        <v>10</v>
      </c>
      <c r="D385" t="s">
        <v>61</v>
      </c>
      <c r="E385">
        <v>114386</v>
      </c>
      <c r="F385" t="s">
        <v>32</v>
      </c>
      <c r="G385">
        <v>0</v>
      </c>
      <c r="H385" t="s">
        <v>19</v>
      </c>
    </row>
    <row r="386" spans="1:8" x14ac:dyDescent="0.3">
      <c r="A386" t="s">
        <v>426</v>
      </c>
      <c r="B386" t="s">
        <v>25</v>
      </c>
      <c r="C386" t="s">
        <v>55</v>
      </c>
      <c r="D386" t="s">
        <v>53</v>
      </c>
      <c r="E386">
        <v>46394</v>
      </c>
      <c r="F386" t="s">
        <v>32</v>
      </c>
      <c r="G386">
        <v>4</v>
      </c>
      <c r="H386" t="s">
        <v>19</v>
      </c>
    </row>
    <row r="387" spans="1:8" x14ac:dyDescent="0.3">
      <c r="A387" t="s">
        <v>427</v>
      </c>
      <c r="B387" t="s">
        <v>29</v>
      </c>
      <c r="C387" t="s">
        <v>22</v>
      </c>
      <c r="D387" t="s">
        <v>48</v>
      </c>
      <c r="E387">
        <v>107534</v>
      </c>
      <c r="F387" t="s">
        <v>18</v>
      </c>
      <c r="G387">
        <v>3</v>
      </c>
      <c r="H387" t="s">
        <v>13</v>
      </c>
    </row>
    <row r="388" spans="1:8" x14ac:dyDescent="0.3">
      <c r="A388" t="s">
        <v>428</v>
      </c>
      <c r="B388" t="s">
        <v>15</v>
      </c>
      <c r="C388" t="s">
        <v>16</v>
      </c>
      <c r="D388" t="s">
        <v>17</v>
      </c>
      <c r="E388">
        <v>118797</v>
      </c>
      <c r="F388" t="s">
        <v>32</v>
      </c>
      <c r="G388">
        <v>3</v>
      </c>
      <c r="H388" t="s">
        <v>35</v>
      </c>
    </row>
    <row r="389" spans="1:8" x14ac:dyDescent="0.3">
      <c r="A389" t="s">
        <v>429</v>
      </c>
      <c r="B389" t="s">
        <v>29</v>
      </c>
      <c r="C389" t="s">
        <v>42</v>
      </c>
      <c r="D389" t="s">
        <v>27</v>
      </c>
      <c r="E389">
        <v>71394</v>
      </c>
      <c r="F389" t="s">
        <v>32</v>
      </c>
      <c r="G389">
        <v>0</v>
      </c>
      <c r="H389" t="s">
        <v>19</v>
      </c>
    </row>
    <row r="390" spans="1:8" x14ac:dyDescent="0.3">
      <c r="A390" t="s">
        <v>430</v>
      </c>
      <c r="B390" t="s">
        <v>47</v>
      </c>
      <c r="C390" t="s">
        <v>42</v>
      </c>
      <c r="D390" t="s">
        <v>48</v>
      </c>
      <c r="E390">
        <v>122449</v>
      </c>
      <c r="F390" t="s">
        <v>12</v>
      </c>
      <c r="G390">
        <v>7</v>
      </c>
      <c r="H390" t="s">
        <v>19</v>
      </c>
    </row>
    <row r="391" spans="1:8" x14ac:dyDescent="0.3">
      <c r="A391" t="s">
        <v>431</v>
      </c>
      <c r="B391" t="s">
        <v>29</v>
      </c>
      <c r="C391" t="s">
        <v>42</v>
      </c>
      <c r="D391" t="s">
        <v>27</v>
      </c>
      <c r="E391">
        <v>99754</v>
      </c>
      <c r="F391" t="s">
        <v>18</v>
      </c>
      <c r="G391">
        <v>1</v>
      </c>
      <c r="H391" t="s">
        <v>13</v>
      </c>
    </row>
    <row r="392" spans="1:8" x14ac:dyDescent="0.3">
      <c r="A392" t="s">
        <v>432</v>
      </c>
      <c r="B392" t="s">
        <v>9</v>
      </c>
      <c r="C392" t="s">
        <v>42</v>
      </c>
      <c r="D392" t="s">
        <v>30</v>
      </c>
      <c r="E392">
        <v>140374</v>
      </c>
      <c r="F392" t="s">
        <v>18</v>
      </c>
      <c r="G392">
        <v>5</v>
      </c>
      <c r="H392" t="s">
        <v>13</v>
      </c>
    </row>
    <row r="393" spans="1:8" x14ac:dyDescent="0.3">
      <c r="A393" t="s">
        <v>433</v>
      </c>
      <c r="B393" t="s">
        <v>21</v>
      </c>
      <c r="C393" t="s">
        <v>22</v>
      </c>
      <c r="D393" t="s">
        <v>39</v>
      </c>
      <c r="E393">
        <v>88309</v>
      </c>
      <c r="F393" t="s">
        <v>18</v>
      </c>
      <c r="G393">
        <v>3</v>
      </c>
      <c r="H393" t="s">
        <v>19</v>
      </c>
    </row>
    <row r="394" spans="1:8" x14ac:dyDescent="0.3">
      <c r="A394" t="s">
        <v>434</v>
      </c>
      <c r="B394" t="s">
        <v>41</v>
      </c>
      <c r="C394" t="s">
        <v>16</v>
      </c>
      <c r="D394" t="s">
        <v>23</v>
      </c>
      <c r="E394">
        <v>138541</v>
      </c>
      <c r="F394" t="s">
        <v>18</v>
      </c>
      <c r="G394">
        <v>5</v>
      </c>
      <c r="H394" t="s">
        <v>13</v>
      </c>
    </row>
    <row r="395" spans="1:8" x14ac:dyDescent="0.3">
      <c r="A395" t="s">
        <v>435</v>
      </c>
      <c r="B395" t="s">
        <v>41</v>
      </c>
      <c r="C395" t="s">
        <v>10</v>
      </c>
      <c r="D395" t="s">
        <v>48</v>
      </c>
      <c r="E395">
        <v>144606</v>
      </c>
      <c r="F395" t="s">
        <v>32</v>
      </c>
      <c r="G395">
        <v>0</v>
      </c>
      <c r="H395" t="s">
        <v>35</v>
      </c>
    </row>
    <row r="396" spans="1:8" x14ac:dyDescent="0.3">
      <c r="A396" t="s">
        <v>436</v>
      </c>
      <c r="B396" t="s">
        <v>9</v>
      </c>
      <c r="C396" t="s">
        <v>22</v>
      </c>
      <c r="D396" t="s">
        <v>43</v>
      </c>
      <c r="E396">
        <v>32407</v>
      </c>
      <c r="F396" t="s">
        <v>12</v>
      </c>
      <c r="G396">
        <v>13</v>
      </c>
      <c r="H396" t="s">
        <v>35</v>
      </c>
    </row>
    <row r="397" spans="1:8" x14ac:dyDescent="0.3">
      <c r="A397" t="s">
        <v>437</v>
      </c>
      <c r="B397" t="s">
        <v>50</v>
      </c>
      <c r="C397" t="s">
        <v>26</v>
      </c>
      <c r="D397" t="s">
        <v>61</v>
      </c>
      <c r="E397">
        <v>101674</v>
      </c>
      <c r="F397" t="s">
        <v>32</v>
      </c>
      <c r="G397">
        <v>15</v>
      </c>
      <c r="H397" t="s">
        <v>19</v>
      </c>
    </row>
    <row r="398" spans="1:8" x14ac:dyDescent="0.3">
      <c r="A398" t="s">
        <v>438</v>
      </c>
      <c r="B398" t="s">
        <v>41</v>
      </c>
      <c r="C398" t="s">
        <v>22</v>
      </c>
      <c r="D398" t="s">
        <v>39</v>
      </c>
      <c r="E398">
        <v>82860</v>
      </c>
      <c r="F398" t="s">
        <v>18</v>
      </c>
      <c r="G398">
        <v>3</v>
      </c>
      <c r="H398" t="s">
        <v>19</v>
      </c>
    </row>
    <row r="399" spans="1:8" x14ac:dyDescent="0.3">
      <c r="A399" t="s">
        <v>439</v>
      </c>
      <c r="B399" t="s">
        <v>25</v>
      </c>
      <c r="C399" t="s">
        <v>10</v>
      </c>
      <c r="D399" t="s">
        <v>45</v>
      </c>
      <c r="E399">
        <v>95811</v>
      </c>
      <c r="F399" t="s">
        <v>12</v>
      </c>
      <c r="G399">
        <v>1</v>
      </c>
      <c r="H399" t="s">
        <v>19</v>
      </c>
    </row>
    <row r="400" spans="1:8" x14ac:dyDescent="0.3">
      <c r="A400" t="s">
        <v>440</v>
      </c>
      <c r="B400" t="s">
        <v>29</v>
      </c>
      <c r="C400" t="s">
        <v>22</v>
      </c>
      <c r="D400" t="s">
        <v>39</v>
      </c>
      <c r="E400">
        <v>88646</v>
      </c>
      <c r="F400" t="s">
        <v>18</v>
      </c>
      <c r="G400">
        <v>9</v>
      </c>
      <c r="H400" t="s">
        <v>35</v>
      </c>
    </row>
    <row r="401" spans="1:8" x14ac:dyDescent="0.3">
      <c r="A401" t="s">
        <v>441</v>
      </c>
      <c r="B401" t="s">
        <v>21</v>
      </c>
      <c r="C401" t="s">
        <v>42</v>
      </c>
      <c r="D401" t="s">
        <v>39</v>
      </c>
      <c r="E401">
        <v>121014</v>
      </c>
      <c r="F401" t="s">
        <v>32</v>
      </c>
      <c r="G401">
        <v>12</v>
      </c>
      <c r="H401" t="s">
        <v>35</v>
      </c>
    </row>
    <row r="402" spans="1:8" x14ac:dyDescent="0.3">
      <c r="A402" t="s">
        <v>442</v>
      </c>
      <c r="B402" t="s">
        <v>25</v>
      </c>
      <c r="C402" t="s">
        <v>16</v>
      </c>
      <c r="D402" t="s">
        <v>23</v>
      </c>
      <c r="E402">
        <v>140485</v>
      </c>
      <c r="F402" t="s">
        <v>18</v>
      </c>
      <c r="G402">
        <v>11</v>
      </c>
      <c r="H402" t="s">
        <v>19</v>
      </c>
    </row>
    <row r="403" spans="1:8" x14ac:dyDescent="0.3">
      <c r="A403" t="s">
        <v>443</v>
      </c>
      <c r="B403" t="s">
        <v>21</v>
      </c>
      <c r="C403" t="s">
        <v>55</v>
      </c>
      <c r="D403" t="s">
        <v>11</v>
      </c>
      <c r="E403">
        <v>78080</v>
      </c>
      <c r="F403" t="s">
        <v>32</v>
      </c>
      <c r="G403">
        <v>10</v>
      </c>
      <c r="H403" t="s">
        <v>13</v>
      </c>
    </row>
    <row r="404" spans="1:8" x14ac:dyDescent="0.3">
      <c r="A404" t="s">
        <v>444</v>
      </c>
      <c r="B404" t="s">
        <v>37</v>
      </c>
      <c r="C404" t="s">
        <v>42</v>
      </c>
      <c r="D404" t="s">
        <v>85</v>
      </c>
      <c r="E404">
        <v>109039</v>
      </c>
      <c r="F404" t="s">
        <v>18</v>
      </c>
      <c r="G404">
        <v>4</v>
      </c>
      <c r="H404" t="s">
        <v>35</v>
      </c>
    </row>
    <row r="405" spans="1:8" x14ac:dyDescent="0.3">
      <c r="A405" t="s">
        <v>445</v>
      </c>
      <c r="B405" t="s">
        <v>15</v>
      </c>
      <c r="C405" t="s">
        <v>55</v>
      </c>
      <c r="D405" t="s">
        <v>53</v>
      </c>
      <c r="E405">
        <v>143630</v>
      </c>
      <c r="F405" t="s">
        <v>32</v>
      </c>
      <c r="G405">
        <v>8</v>
      </c>
      <c r="H405" t="s">
        <v>13</v>
      </c>
    </row>
    <row r="406" spans="1:8" x14ac:dyDescent="0.3">
      <c r="A406" t="s">
        <v>446</v>
      </c>
      <c r="B406" t="s">
        <v>25</v>
      </c>
      <c r="C406" t="s">
        <v>42</v>
      </c>
      <c r="D406" t="s">
        <v>48</v>
      </c>
      <c r="E406">
        <v>127025</v>
      </c>
      <c r="F406" t="s">
        <v>18</v>
      </c>
      <c r="G406">
        <v>7</v>
      </c>
      <c r="H406" t="s">
        <v>19</v>
      </c>
    </row>
    <row r="407" spans="1:8" x14ac:dyDescent="0.3">
      <c r="A407" t="s">
        <v>447</v>
      </c>
      <c r="B407" t="s">
        <v>21</v>
      </c>
      <c r="C407" t="s">
        <v>16</v>
      </c>
      <c r="D407" t="s">
        <v>23</v>
      </c>
      <c r="E407">
        <v>99618</v>
      </c>
      <c r="F407" t="s">
        <v>32</v>
      </c>
      <c r="G407">
        <v>11</v>
      </c>
      <c r="H407" t="s">
        <v>35</v>
      </c>
    </row>
    <row r="408" spans="1:8" x14ac:dyDescent="0.3">
      <c r="A408" t="s">
        <v>448</v>
      </c>
      <c r="B408" t="s">
        <v>41</v>
      </c>
      <c r="C408" t="s">
        <v>10</v>
      </c>
      <c r="D408" t="s">
        <v>11</v>
      </c>
      <c r="E408">
        <v>132166</v>
      </c>
      <c r="F408" t="s">
        <v>32</v>
      </c>
      <c r="G408">
        <v>3</v>
      </c>
      <c r="H408" t="s">
        <v>19</v>
      </c>
    </row>
    <row r="409" spans="1:8" x14ac:dyDescent="0.3">
      <c r="A409" t="s">
        <v>449</v>
      </c>
      <c r="B409" t="s">
        <v>15</v>
      </c>
      <c r="C409" t="s">
        <v>10</v>
      </c>
      <c r="D409" t="s">
        <v>23</v>
      </c>
      <c r="E409">
        <v>52419</v>
      </c>
      <c r="F409" t="s">
        <v>12</v>
      </c>
      <c r="G409">
        <v>13</v>
      </c>
      <c r="H409" t="s">
        <v>35</v>
      </c>
    </row>
    <row r="410" spans="1:8" x14ac:dyDescent="0.3">
      <c r="A410" t="s">
        <v>450</v>
      </c>
      <c r="B410" t="s">
        <v>9</v>
      </c>
      <c r="C410" t="s">
        <v>22</v>
      </c>
      <c r="D410" t="s">
        <v>17</v>
      </c>
      <c r="E410">
        <v>89227</v>
      </c>
      <c r="F410" t="s">
        <v>32</v>
      </c>
      <c r="G410">
        <v>2</v>
      </c>
      <c r="H410" t="s">
        <v>13</v>
      </c>
    </row>
    <row r="411" spans="1:8" x14ac:dyDescent="0.3">
      <c r="A411" t="s">
        <v>451</v>
      </c>
      <c r="B411" t="s">
        <v>47</v>
      </c>
      <c r="C411" t="s">
        <v>26</v>
      </c>
      <c r="D411" t="s">
        <v>53</v>
      </c>
      <c r="E411">
        <v>130424</v>
      </c>
      <c r="F411" t="s">
        <v>12</v>
      </c>
      <c r="G411">
        <v>9</v>
      </c>
      <c r="H411" t="s">
        <v>13</v>
      </c>
    </row>
    <row r="412" spans="1:8" x14ac:dyDescent="0.3">
      <c r="A412" t="s">
        <v>452</v>
      </c>
      <c r="B412" t="s">
        <v>47</v>
      </c>
      <c r="C412" t="s">
        <v>10</v>
      </c>
      <c r="D412" t="s">
        <v>17</v>
      </c>
      <c r="E412">
        <v>91357</v>
      </c>
      <c r="F412" t="s">
        <v>12</v>
      </c>
      <c r="G412">
        <v>8</v>
      </c>
      <c r="H412" t="s">
        <v>35</v>
      </c>
    </row>
    <row r="413" spans="1:8" x14ac:dyDescent="0.3">
      <c r="A413" t="s">
        <v>453</v>
      </c>
      <c r="B413" t="s">
        <v>34</v>
      </c>
      <c r="C413" t="s">
        <v>42</v>
      </c>
      <c r="D413" t="s">
        <v>17</v>
      </c>
      <c r="E413">
        <v>121257</v>
      </c>
      <c r="F413" t="s">
        <v>18</v>
      </c>
      <c r="G413">
        <v>12</v>
      </c>
      <c r="H413" t="s">
        <v>35</v>
      </c>
    </row>
    <row r="414" spans="1:8" x14ac:dyDescent="0.3">
      <c r="A414" t="s">
        <v>454</v>
      </c>
      <c r="B414" t="s">
        <v>21</v>
      </c>
      <c r="C414" t="s">
        <v>10</v>
      </c>
      <c r="D414" t="s">
        <v>43</v>
      </c>
      <c r="E414">
        <v>120873</v>
      </c>
      <c r="F414" t="s">
        <v>18</v>
      </c>
      <c r="G414">
        <v>8</v>
      </c>
      <c r="H414" t="s">
        <v>19</v>
      </c>
    </row>
    <row r="415" spans="1:8" x14ac:dyDescent="0.3">
      <c r="A415" t="s">
        <v>455</v>
      </c>
      <c r="B415" t="s">
        <v>29</v>
      </c>
      <c r="C415" t="s">
        <v>22</v>
      </c>
      <c r="D415" t="s">
        <v>39</v>
      </c>
      <c r="E415">
        <v>142235</v>
      </c>
      <c r="F415" t="s">
        <v>18</v>
      </c>
      <c r="G415">
        <v>13</v>
      </c>
      <c r="H415" t="s">
        <v>13</v>
      </c>
    </row>
    <row r="416" spans="1:8" x14ac:dyDescent="0.3">
      <c r="A416" t="s">
        <v>456</v>
      </c>
      <c r="B416" t="s">
        <v>25</v>
      </c>
      <c r="C416" t="s">
        <v>26</v>
      </c>
      <c r="D416" t="s">
        <v>85</v>
      </c>
      <c r="E416">
        <v>50899</v>
      </c>
      <c r="F416" t="s">
        <v>18</v>
      </c>
      <c r="G416">
        <v>5</v>
      </c>
      <c r="H416" t="s">
        <v>13</v>
      </c>
    </row>
    <row r="417" spans="1:8" x14ac:dyDescent="0.3">
      <c r="A417" t="s">
        <v>457</v>
      </c>
      <c r="B417" t="s">
        <v>50</v>
      </c>
      <c r="C417" t="s">
        <v>22</v>
      </c>
      <c r="D417" t="s">
        <v>53</v>
      </c>
      <c r="E417">
        <v>40087</v>
      </c>
      <c r="F417" t="s">
        <v>32</v>
      </c>
      <c r="G417">
        <v>5</v>
      </c>
      <c r="H417" t="s">
        <v>35</v>
      </c>
    </row>
    <row r="418" spans="1:8" x14ac:dyDescent="0.3">
      <c r="A418" t="s">
        <v>458</v>
      </c>
      <c r="B418" t="s">
        <v>25</v>
      </c>
      <c r="C418" t="s">
        <v>55</v>
      </c>
      <c r="D418" t="s">
        <v>43</v>
      </c>
      <c r="E418">
        <v>16107</v>
      </c>
      <c r="F418" t="s">
        <v>18</v>
      </c>
      <c r="G418">
        <v>11</v>
      </c>
      <c r="H418" t="s">
        <v>19</v>
      </c>
    </row>
    <row r="419" spans="1:8" x14ac:dyDescent="0.3">
      <c r="A419" t="s">
        <v>459</v>
      </c>
      <c r="B419" t="s">
        <v>34</v>
      </c>
      <c r="C419" t="s">
        <v>22</v>
      </c>
      <c r="D419" t="s">
        <v>61</v>
      </c>
      <c r="E419">
        <v>120226</v>
      </c>
      <c r="F419" t="s">
        <v>32</v>
      </c>
      <c r="G419">
        <v>14</v>
      </c>
      <c r="H419" t="s">
        <v>35</v>
      </c>
    </row>
    <row r="420" spans="1:8" x14ac:dyDescent="0.3">
      <c r="A420" t="s">
        <v>460</v>
      </c>
      <c r="B420" t="s">
        <v>37</v>
      </c>
      <c r="C420" t="s">
        <v>22</v>
      </c>
      <c r="D420" t="s">
        <v>27</v>
      </c>
      <c r="E420">
        <v>113420</v>
      </c>
      <c r="F420" t="s">
        <v>18</v>
      </c>
      <c r="G420">
        <v>14</v>
      </c>
      <c r="H420" t="s">
        <v>13</v>
      </c>
    </row>
    <row r="421" spans="1:8" x14ac:dyDescent="0.3">
      <c r="A421" t="s">
        <v>461</v>
      </c>
      <c r="B421" t="s">
        <v>9</v>
      </c>
      <c r="C421" t="s">
        <v>16</v>
      </c>
      <c r="D421" t="s">
        <v>17</v>
      </c>
      <c r="E421">
        <v>123685</v>
      </c>
      <c r="F421" t="s">
        <v>18</v>
      </c>
      <c r="G421">
        <v>4</v>
      </c>
      <c r="H421" t="s">
        <v>19</v>
      </c>
    </row>
    <row r="422" spans="1:8" x14ac:dyDescent="0.3">
      <c r="A422" t="s">
        <v>462</v>
      </c>
      <c r="B422" t="s">
        <v>29</v>
      </c>
      <c r="C422" t="s">
        <v>22</v>
      </c>
      <c r="D422" t="s">
        <v>53</v>
      </c>
      <c r="E422">
        <v>95085</v>
      </c>
      <c r="F422" t="s">
        <v>18</v>
      </c>
      <c r="G422">
        <v>5</v>
      </c>
      <c r="H422" t="s">
        <v>35</v>
      </c>
    </row>
    <row r="423" spans="1:8" x14ac:dyDescent="0.3">
      <c r="A423" t="s">
        <v>463</v>
      </c>
      <c r="B423" t="s">
        <v>29</v>
      </c>
      <c r="C423" t="s">
        <v>10</v>
      </c>
      <c r="D423" t="s">
        <v>17</v>
      </c>
      <c r="E423">
        <v>149022</v>
      </c>
      <c r="F423" t="s">
        <v>18</v>
      </c>
      <c r="G423">
        <v>8</v>
      </c>
      <c r="H423" t="s">
        <v>19</v>
      </c>
    </row>
    <row r="424" spans="1:8" x14ac:dyDescent="0.3">
      <c r="A424" t="s">
        <v>464</v>
      </c>
      <c r="B424" t="s">
        <v>41</v>
      </c>
      <c r="C424" t="s">
        <v>55</v>
      </c>
      <c r="D424" t="s">
        <v>39</v>
      </c>
      <c r="E424">
        <v>100771</v>
      </c>
      <c r="F424" t="s">
        <v>12</v>
      </c>
      <c r="G424">
        <v>11</v>
      </c>
      <c r="H424" t="s">
        <v>19</v>
      </c>
    </row>
    <row r="425" spans="1:8" x14ac:dyDescent="0.3">
      <c r="A425" t="s">
        <v>465</v>
      </c>
      <c r="B425" t="s">
        <v>29</v>
      </c>
      <c r="C425" t="s">
        <v>16</v>
      </c>
      <c r="D425" t="s">
        <v>61</v>
      </c>
      <c r="E425">
        <v>34348</v>
      </c>
      <c r="F425" t="s">
        <v>12</v>
      </c>
      <c r="G425">
        <v>14</v>
      </c>
      <c r="H425" t="s">
        <v>13</v>
      </c>
    </row>
    <row r="426" spans="1:8" x14ac:dyDescent="0.3">
      <c r="A426" t="s">
        <v>466</v>
      </c>
      <c r="B426" t="s">
        <v>50</v>
      </c>
      <c r="C426" t="s">
        <v>26</v>
      </c>
      <c r="D426" t="s">
        <v>17</v>
      </c>
      <c r="E426">
        <v>79494</v>
      </c>
      <c r="F426" t="s">
        <v>32</v>
      </c>
      <c r="G426">
        <v>10</v>
      </c>
      <c r="H426" t="s">
        <v>19</v>
      </c>
    </row>
    <row r="427" spans="1:8" x14ac:dyDescent="0.3">
      <c r="A427" t="s">
        <v>467</v>
      </c>
      <c r="B427" t="s">
        <v>47</v>
      </c>
      <c r="C427" t="s">
        <v>55</v>
      </c>
      <c r="D427" t="s">
        <v>23</v>
      </c>
      <c r="E427">
        <v>139491</v>
      </c>
      <c r="F427" t="s">
        <v>12</v>
      </c>
      <c r="G427">
        <v>10</v>
      </c>
      <c r="H427" t="s">
        <v>13</v>
      </c>
    </row>
    <row r="428" spans="1:8" x14ac:dyDescent="0.3">
      <c r="A428" t="s">
        <v>468</v>
      </c>
      <c r="B428" t="s">
        <v>25</v>
      </c>
      <c r="C428" t="s">
        <v>10</v>
      </c>
      <c r="D428" t="s">
        <v>17</v>
      </c>
      <c r="E428">
        <v>149700</v>
      </c>
      <c r="F428" t="s">
        <v>32</v>
      </c>
      <c r="G428">
        <v>2</v>
      </c>
      <c r="H428" t="s">
        <v>19</v>
      </c>
    </row>
    <row r="429" spans="1:8" x14ac:dyDescent="0.3">
      <c r="A429" t="s">
        <v>469</v>
      </c>
      <c r="B429" t="s">
        <v>34</v>
      </c>
      <c r="C429" t="s">
        <v>10</v>
      </c>
      <c r="D429" t="s">
        <v>48</v>
      </c>
      <c r="E429">
        <v>135624</v>
      </c>
      <c r="F429" t="s">
        <v>18</v>
      </c>
      <c r="G429">
        <v>13</v>
      </c>
      <c r="H429" t="s">
        <v>35</v>
      </c>
    </row>
    <row r="430" spans="1:8" x14ac:dyDescent="0.3">
      <c r="A430" t="s">
        <v>470</v>
      </c>
      <c r="B430" t="s">
        <v>21</v>
      </c>
      <c r="C430" t="s">
        <v>26</v>
      </c>
      <c r="D430" t="s">
        <v>48</v>
      </c>
      <c r="E430">
        <v>107090</v>
      </c>
      <c r="F430" t="s">
        <v>12</v>
      </c>
      <c r="G430">
        <v>10</v>
      </c>
      <c r="H430" t="s">
        <v>13</v>
      </c>
    </row>
    <row r="431" spans="1:8" x14ac:dyDescent="0.3">
      <c r="A431" t="s">
        <v>471</v>
      </c>
      <c r="B431" t="s">
        <v>37</v>
      </c>
      <c r="C431" t="s">
        <v>26</v>
      </c>
      <c r="D431" t="s">
        <v>61</v>
      </c>
      <c r="E431">
        <v>40182</v>
      </c>
      <c r="F431" t="s">
        <v>12</v>
      </c>
      <c r="G431">
        <v>9</v>
      </c>
      <c r="H431" t="s">
        <v>13</v>
      </c>
    </row>
    <row r="432" spans="1:8" x14ac:dyDescent="0.3">
      <c r="A432" t="s">
        <v>472</v>
      </c>
      <c r="B432" t="s">
        <v>15</v>
      </c>
      <c r="C432" t="s">
        <v>10</v>
      </c>
      <c r="D432" t="s">
        <v>43</v>
      </c>
      <c r="E432">
        <v>63540</v>
      </c>
      <c r="F432" t="s">
        <v>32</v>
      </c>
      <c r="G432">
        <v>11</v>
      </c>
      <c r="H432" t="s">
        <v>35</v>
      </c>
    </row>
    <row r="433" spans="1:8" x14ac:dyDescent="0.3">
      <c r="A433" t="s">
        <v>473</v>
      </c>
      <c r="B433" t="s">
        <v>37</v>
      </c>
      <c r="C433" t="s">
        <v>42</v>
      </c>
      <c r="D433" t="s">
        <v>23</v>
      </c>
      <c r="E433">
        <v>129157</v>
      </c>
      <c r="F433" t="s">
        <v>12</v>
      </c>
      <c r="G433">
        <v>9</v>
      </c>
      <c r="H433" t="s">
        <v>19</v>
      </c>
    </row>
    <row r="434" spans="1:8" x14ac:dyDescent="0.3">
      <c r="A434" t="s">
        <v>474</v>
      </c>
      <c r="B434" t="s">
        <v>50</v>
      </c>
      <c r="C434" t="s">
        <v>42</v>
      </c>
      <c r="D434" t="s">
        <v>48</v>
      </c>
      <c r="E434">
        <v>78875</v>
      </c>
      <c r="F434" t="s">
        <v>18</v>
      </c>
      <c r="G434">
        <v>9</v>
      </c>
      <c r="H434" t="s">
        <v>35</v>
      </c>
    </row>
    <row r="435" spans="1:8" x14ac:dyDescent="0.3">
      <c r="A435" t="s">
        <v>475</v>
      </c>
      <c r="B435" t="s">
        <v>25</v>
      </c>
      <c r="C435" t="s">
        <v>26</v>
      </c>
      <c r="D435" t="s">
        <v>53</v>
      </c>
      <c r="E435">
        <v>54913</v>
      </c>
      <c r="F435" t="s">
        <v>32</v>
      </c>
      <c r="G435">
        <v>8</v>
      </c>
      <c r="H435" t="s">
        <v>19</v>
      </c>
    </row>
    <row r="436" spans="1:8" x14ac:dyDescent="0.3">
      <c r="A436" t="s">
        <v>476</v>
      </c>
      <c r="B436" t="s">
        <v>50</v>
      </c>
      <c r="C436" t="s">
        <v>26</v>
      </c>
      <c r="D436" t="s">
        <v>61</v>
      </c>
      <c r="E436">
        <v>29433</v>
      </c>
      <c r="F436" t="s">
        <v>12</v>
      </c>
      <c r="G436">
        <v>5</v>
      </c>
      <c r="H436" t="s">
        <v>19</v>
      </c>
    </row>
    <row r="437" spans="1:8" x14ac:dyDescent="0.3">
      <c r="A437" t="s">
        <v>477</v>
      </c>
      <c r="B437" t="s">
        <v>25</v>
      </c>
      <c r="C437" t="s">
        <v>16</v>
      </c>
      <c r="D437" t="s">
        <v>85</v>
      </c>
      <c r="E437">
        <v>95504</v>
      </c>
      <c r="F437" t="s">
        <v>12</v>
      </c>
      <c r="G437">
        <v>9</v>
      </c>
      <c r="H437" t="s">
        <v>19</v>
      </c>
    </row>
    <row r="438" spans="1:8" x14ac:dyDescent="0.3">
      <c r="A438" t="s">
        <v>478</v>
      </c>
      <c r="B438" t="s">
        <v>21</v>
      </c>
      <c r="C438" t="s">
        <v>26</v>
      </c>
      <c r="D438" t="s">
        <v>39</v>
      </c>
      <c r="E438">
        <v>97926</v>
      </c>
      <c r="F438" t="s">
        <v>32</v>
      </c>
      <c r="G438">
        <v>9</v>
      </c>
      <c r="H438" t="s">
        <v>35</v>
      </c>
    </row>
    <row r="439" spans="1:8" x14ac:dyDescent="0.3">
      <c r="A439" t="s">
        <v>479</v>
      </c>
      <c r="B439" t="s">
        <v>47</v>
      </c>
      <c r="C439" t="s">
        <v>42</v>
      </c>
      <c r="D439" t="s">
        <v>43</v>
      </c>
      <c r="E439">
        <v>78654</v>
      </c>
      <c r="F439" t="s">
        <v>12</v>
      </c>
      <c r="G439">
        <v>9</v>
      </c>
      <c r="H439" t="s">
        <v>13</v>
      </c>
    </row>
    <row r="440" spans="1:8" x14ac:dyDescent="0.3">
      <c r="A440" t="s">
        <v>480</v>
      </c>
      <c r="B440" t="s">
        <v>41</v>
      </c>
      <c r="C440" t="s">
        <v>10</v>
      </c>
      <c r="D440" t="s">
        <v>11</v>
      </c>
      <c r="E440">
        <v>16074</v>
      </c>
      <c r="F440" t="s">
        <v>12</v>
      </c>
      <c r="G440">
        <v>5</v>
      </c>
      <c r="H440" t="s">
        <v>13</v>
      </c>
    </row>
    <row r="441" spans="1:8" x14ac:dyDescent="0.3">
      <c r="A441" t="s">
        <v>481</v>
      </c>
      <c r="B441" t="s">
        <v>9</v>
      </c>
      <c r="C441" t="s">
        <v>10</v>
      </c>
      <c r="D441" t="s">
        <v>85</v>
      </c>
      <c r="E441">
        <v>85248</v>
      </c>
      <c r="F441" t="s">
        <v>32</v>
      </c>
      <c r="G441">
        <v>12</v>
      </c>
      <c r="H441" t="s">
        <v>13</v>
      </c>
    </row>
    <row r="442" spans="1:8" x14ac:dyDescent="0.3">
      <c r="A442" t="s">
        <v>482</v>
      </c>
      <c r="B442" t="s">
        <v>41</v>
      </c>
      <c r="C442" t="s">
        <v>26</v>
      </c>
      <c r="D442" t="s">
        <v>53</v>
      </c>
      <c r="E442">
        <v>30084</v>
      </c>
      <c r="F442" t="s">
        <v>18</v>
      </c>
      <c r="G442">
        <v>7</v>
      </c>
      <c r="H442" t="s">
        <v>13</v>
      </c>
    </row>
    <row r="443" spans="1:8" x14ac:dyDescent="0.3">
      <c r="A443" t="s">
        <v>483</v>
      </c>
      <c r="B443" t="s">
        <v>9</v>
      </c>
      <c r="C443" t="s">
        <v>16</v>
      </c>
      <c r="D443" t="s">
        <v>43</v>
      </c>
      <c r="E443">
        <v>127171</v>
      </c>
      <c r="F443" t="s">
        <v>18</v>
      </c>
      <c r="G443">
        <v>5</v>
      </c>
      <c r="H443" t="s">
        <v>19</v>
      </c>
    </row>
    <row r="444" spans="1:8" x14ac:dyDescent="0.3">
      <c r="A444" t="s">
        <v>484</v>
      </c>
      <c r="B444" t="s">
        <v>34</v>
      </c>
      <c r="C444" t="s">
        <v>22</v>
      </c>
      <c r="D444" t="s">
        <v>61</v>
      </c>
      <c r="E444">
        <v>61430</v>
      </c>
      <c r="F444" t="s">
        <v>32</v>
      </c>
      <c r="G444">
        <v>0</v>
      </c>
      <c r="H444" t="s">
        <v>13</v>
      </c>
    </row>
    <row r="445" spans="1:8" x14ac:dyDescent="0.3">
      <c r="A445" t="s">
        <v>485</v>
      </c>
      <c r="B445" t="s">
        <v>37</v>
      </c>
      <c r="C445" t="s">
        <v>55</v>
      </c>
      <c r="D445" t="s">
        <v>45</v>
      </c>
      <c r="E445">
        <v>120313</v>
      </c>
      <c r="F445" t="s">
        <v>12</v>
      </c>
      <c r="G445">
        <v>12</v>
      </c>
      <c r="H445" t="s">
        <v>13</v>
      </c>
    </row>
    <row r="446" spans="1:8" x14ac:dyDescent="0.3">
      <c r="A446" t="s">
        <v>486</v>
      </c>
      <c r="B446" t="s">
        <v>9</v>
      </c>
      <c r="C446" t="s">
        <v>42</v>
      </c>
      <c r="D446" t="s">
        <v>27</v>
      </c>
      <c r="E446">
        <v>28488</v>
      </c>
      <c r="F446" t="s">
        <v>32</v>
      </c>
      <c r="G446">
        <v>13</v>
      </c>
      <c r="H446" t="s">
        <v>19</v>
      </c>
    </row>
    <row r="447" spans="1:8" x14ac:dyDescent="0.3">
      <c r="A447" t="s">
        <v>487</v>
      </c>
      <c r="B447" t="s">
        <v>9</v>
      </c>
      <c r="C447" t="s">
        <v>22</v>
      </c>
      <c r="D447" t="s">
        <v>17</v>
      </c>
      <c r="E447">
        <v>43101</v>
      </c>
      <c r="F447" t="s">
        <v>12</v>
      </c>
      <c r="G447">
        <v>9</v>
      </c>
      <c r="H447" t="s">
        <v>35</v>
      </c>
    </row>
    <row r="448" spans="1:8" x14ac:dyDescent="0.3">
      <c r="A448" t="s">
        <v>488</v>
      </c>
      <c r="B448" t="s">
        <v>9</v>
      </c>
      <c r="C448" t="s">
        <v>55</v>
      </c>
      <c r="D448" t="s">
        <v>45</v>
      </c>
      <c r="E448">
        <v>123111</v>
      </c>
      <c r="F448" t="s">
        <v>12</v>
      </c>
      <c r="G448">
        <v>3</v>
      </c>
      <c r="H448" t="s">
        <v>13</v>
      </c>
    </row>
    <row r="449" spans="1:8" x14ac:dyDescent="0.3">
      <c r="A449" t="s">
        <v>489</v>
      </c>
      <c r="B449" t="s">
        <v>25</v>
      </c>
      <c r="C449" t="s">
        <v>55</v>
      </c>
      <c r="D449" t="s">
        <v>48</v>
      </c>
      <c r="E449">
        <v>13811</v>
      </c>
      <c r="F449" t="s">
        <v>18</v>
      </c>
      <c r="G449">
        <v>9</v>
      </c>
      <c r="H449" t="s">
        <v>19</v>
      </c>
    </row>
    <row r="450" spans="1:8" x14ac:dyDescent="0.3">
      <c r="A450" t="s">
        <v>490</v>
      </c>
      <c r="B450" t="s">
        <v>41</v>
      </c>
      <c r="C450" t="s">
        <v>42</v>
      </c>
      <c r="D450" t="s">
        <v>39</v>
      </c>
      <c r="E450">
        <v>90124</v>
      </c>
      <c r="F450" t="s">
        <v>12</v>
      </c>
      <c r="G450">
        <v>9</v>
      </c>
      <c r="H450" t="s">
        <v>13</v>
      </c>
    </row>
    <row r="451" spans="1:8" x14ac:dyDescent="0.3">
      <c r="A451" t="s">
        <v>491</v>
      </c>
      <c r="B451" t="s">
        <v>47</v>
      </c>
      <c r="C451" t="s">
        <v>55</v>
      </c>
      <c r="D451" t="s">
        <v>17</v>
      </c>
      <c r="E451">
        <v>115742</v>
      </c>
      <c r="F451" t="s">
        <v>12</v>
      </c>
      <c r="G451">
        <v>11</v>
      </c>
      <c r="H451" t="s">
        <v>35</v>
      </c>
    </row>
    <row r="452" spans="1:8" x14ac:dyDescent="0.3">
      <c r="A452" t="s">
        <v>492</v>
      </c>
      <c r="B452" t="s">
        <v>50</v>
      </c>
      <c r="C452" t="s">
        <v>42</v>
      </c>
      <c r="D452" t="s">
        <v>23</v>
      </c>
      <c r="E452">
        <v>49910</v>
      </c>
      <c r="F452" t="s">
        <v>32</v>
      </c>
      <c r="G452">
        <v>10</v>
      </c>
      <c r="H452" t="s">
        <v>13</v>
      </c>
    </row>
    <row r="453" spans="1:8" x14ac:dyDescent="0.3">
      <c r="A453" t="s">
        <v>493</v>
      </c>
      <c r="B453" t="s">
        <v>34</v>
      </c>
      <c r="C453" t="s">
        <v>10</v>
      </c>
      <c r="D453" t="s">
        <v>43</v>
      </c>
      <c r="E453">
        <v>129506</v>
      </c>
      <c r="F453" t="s">
        <v>18</v>
      </c>
      <c r="G453">
        <v>8</v>
      </c>
      <c r="H453" t="s">
        <v>19</v>
      </c>
    </row>
    <row r="454" spans="1:8" x14ac:dyDescent="0.3">
      <c r="A454" t="s">
        <v>494</v>
      </c>
      <c r="B454" t="s">
        <v>47</v>
      </c>
      <c r="C454" t="s">
        <v>10</v>
      </c>
      <c r="D454" t="s">
        <v>61</v>
      </c>
      <c r="E454">
        <v>79241</v>
      </c>
      <c r="F454" t="s">
        <v>32</v>
      </c>
      <c r="G454">
        <v>12</v>
      </c>
      <c r="H454" t="s">
        <v>13</v>
      </c>
    </row>
    <row r="455" spans="1:8" x14ac:dyDescent="0.3">
      <c r="A455" t="s">
        <v>495</v>
      </c>
      <c r="B455" t="s">
        <v>15</v>
      </c>
      <c r="C455" t="s">
        <v>55</v>
      </c>
      <c r="D455" t="s">
        <v>48</v>
      </c>
      <c r="E455">
        <v>127564</v>
      </c>
      <c r="F455" t="s">
        <v>32</v>
      </c>
      <c r="G455">
        <v>10</v>
      </c>
      <c r="H455" t="s">
        <v>13</v>
      </c>
    </row>
    <row r="456" spans="1:8" x14ac:dyDescent="0.3">
      <c r="A456" t="s">
        <v>496</v>
      </c>
      <c r="B456" t="s">
        <v>29</v>
      </c>
      <c r="C456" t="s">
        <v>26</v>
      </c>
      <c r="D456" t="s">
        <v>27</v>
      </c>
      <c r="E456">
        <v>91919</v>
      </c>
      <c r="F456" t="s">
        <v>18</v>
      </c>
      <c r="G456">
        <v>11</v>
      </c>
      <c r="H456" t="s">
        <v>35</v>
      </c>
    </row>
    <row r="457" spans="1:8" x14ac:dyDescent="0.3">
      <c r="A457" t="s">
        <v>497</v>
      </c>
      <c r="B457" t="s">
        <v>41</v>
      </c>
      <c r="C457" t="s">
        <v>22</v>
      </c>
      <c r="D457" t="s">
        <v>39</v>
      </c>
      <c r="E457">
        <v>59155</v>
      </c>
      <c r="F457" t="s">
        <v>12</v>
      </c>
      <c r="G457">
        <v>5</v>
      </c>
      <c r="H457" t="s">
        <v>19</v>
      </c>
    </row>
    <row r="458" spans="1:8" x14ac:dyDescent="0.3">
      <c r="A458" t="s">
        <v>498</v>
      </c>
      <c r="B458" t="s">
        <v>21</v>
      </c>
      <c r="C458" t="s">
        <v>26</v>
      </c>
      <c r="D458" t="s">
        <v>17</v>
      </c>
      <c r="E458">
        <v>139539</v>
      </c>
      <c r="F458" t="s">
        <v>12</v>
      </c>
      <c r="G458">
        <v>10</v>
      </c>
      <c r="H458" t="s">
        <v>13</v>
      </c>
    </row>
    <row r="459" spans="1:8" x14ac:dyDescent="0.3">
      <c r="A459" t="s">
        <v>499</v>
      </c>
      <c r="B459" t="s">
        <v>50</v>
      </c>
      <c r="C459" t="s">
        <v>10</v>
      </c>
      <c r="D459" t="s">
        <v>45</v>
      </c>
      <c r="E459">
        <v>89488</v>
      </c>
      <c r="F459" t="s">
        <v>32</v>
      </c>
      <c r="G459">
        <v>1</v>
      </c>
      <c r="H459" t="s">
        <v>35</v>
      </c>
    </row>
    <row r="460" spans="1:8" x14ac:dyDescent="0.3">
      <c r="A460" t="s">
        <v>500</v>
      </c>
      <c r="B460" t="s">
        <v>34</v>
      </c>
      <c r="C460" t="s">
        <v>22</v>
      </c>
      <c r="D460" t="s">
        <v>45</v>
      </c>
      <c r="E460">
        <v>133229</v>
      </c>
      <c r="F460" t="s">
        <v>18</v>
      </c>
      <c r="G460">
        <v>12</v>
      </c>
      <c r="H460" t="s">
        <v>35</v>
      </c>
    </row>
    <row r="461" spans="1:8" x14ac:dyDescent="0.3">
      <c r="A461" t="s">
        <v>501</v>
      </c>
      <c r="B461" t="s">
        <v>15</v>
      </c>
      <c r="C461" t="s">
        <v>26</v>
      </c>
      <c r="D461" t="s">
        <v>61</v>
      </c>
      <c r="E461">
        <v>23451</v>
      </c>
      <c r="F461" t="s">
        <v>12</v>
      </c>
      <c r="G461">
        <v>1</v>
      </c>
      <c r="H461" t="s">
        <v>19</v>
      </c>
    </row>
    <row r="462" spans="1:8" x14ac:dyDescent="0.3">
      <c r="A462" t="s">
        <v>502</v>
      </c>
      <c r="B462" t="s">
        <v>37</v>
      </c>
      <c r="C462" t="s">
        <v>55</v>
      </c>
      <c r="D462" t="s">
        <v>39</v>
      </c>
      <c r="E462">
        <v>36955</v>
      </c>
      <c r="F462" t="s">
        <v>18</v>
      </c>
      <c r="G462">
        <v>2</v>
      </c>
      <c r="H462" t="s">
        <v>19</v>
      </c>
    </row>
    <row r="463" spans="1:8" x14ac:dyDescent="0.3">
      <c r="A463" t="s">
        <v>503</v>
      </c>
      <c r="B463" t="s">
        <v>34</v>
      </c>
      <c r="C463" t="s">
        <v>55</v>
      </c>
      <c r="D463" t="s">
        <v>27</v>
      </c>
      <c r="E463">
        <v>34222</v>
      </c>
      <c r="F463" t="s">
        <v>18</v>
      </c>
      <c r="G463">
        <v>9</v>
      </c>
      <c r="H463" t="s">
        <v>35</v>
      </c>
    </row>
    <row r="464" spans="1:8" x14ac:dyDescent="0.3">
      <c r="A464" t="s">
        <v>504</v>
      </c>
      <c r="B464" t="s">
        <v>9</v>
      </c>
      <c r="C464" t="s">
        <v>26</v>
      </c>
      <c r="D464" t="s">
        <v>43</v>
      </c>
      <c r="E464">
        <v>88715</v>
      </c>
      <c r="F464" t="s">
        <v>12</v>
      </c>
      <c r="G464">
        <v>11</v>
      </c>
      <c r="H464" t="s">
        <v>19</v>
      </c>
    </row>
    <row r="465" spans="1:8" x14ac:dyDescent="0.3">
      <c r="A465" t="s">
        <v>505</v>
      </c>
      <c r="B465" t="s">
        <v>25</v>
      </c>
      <c r="C465" t="s">
        <v>26</v>
      </c>
      <c r="D465" t="s">
        <v>61</v>
      </c>
      <c r="E465">
        <v>32666</v>
      </c>
      <c r="F465" t="s">
        <v>12</v>
      </c>
      <c r="G465">
        <v>14</v>
      </c>
      <c r="H465" t="s">
        <v>19</v>
      </c>
    </row>
    <row r="466" spans="1:8" x14ac:dyDescent="0.3">
      <c r="A466" t="s">
        <v>506</v>
      </c>
      <c r="B466" t="s">
        <v>50</v>
      </c>
      <c r="C466" t="s">
        <v>10</v>
      </c>
      <c r="D466" t="s">
        <v>30</v>
      </c>
      <c r="E466">
        <v>130759</v>
      </c>
      <c r="F466" t="s">
        <v>32</v>
      </c>
      <c r="G466">
        <v>6</v>
      </c>
      <c r="H466" t="s">
        <v>35</v>
      </c>
    </row>
    <row r="467" spans="1:8" x14ac:dyDescent="0.3">
      <c r="A467" t="s">
        <v>507</v>
      </c>
      <c r="B467" t="s">
        <v>15</v>
      </c>
      <c r="C467" t="s">
        <v>42</v>
      </c>
      <c r="D467" t="s">
        <v>53</v>
      </c>
      <c r="E467">
        <v>35172</v>
      </c>
      <c r="F467" t="s">
        <v>18</v>
      </c>
      <c r="G467">
        <v>14</v>
      </c>
      <c r="H467" t="s">
        <v>35</v>
      </c>
    </row>
    <row r="468" spans="1:8" x14ac:dyDescent="0.3">
      <c r="A468" t="s">
        <v>508</v>
      </c>
      <c r="B468" t="s">
        <v>25</v>
      </c>
      <c r="C468" t="s">
        <v>26</v>
      </c>
      <c r="D468" t="s">
        <v>11</v>
      </c>
      <c r="E468">
        <v>35378</v>
      </c>
      <c r="F468" t="s">
        <v>32</v>
      </c>
      <c r="G468">
        <v>13</v>
      </c>
      <c r="H468" t="s">
        <v>13</v>
      </c>
    </row>
    <row r="469" spans="1:8" x14ac:dyDescent="0.3">
      <c r="A469" t="s">
        <v>509</v>
      </c>
      <c r="B469" t="s">
        <v>50</v>
      </c>
      <c r="C469" t="s">
        <v>10</v>
      </c>
      <c r="D469" t="s">
        <v>48</v>
      </c>
      <c r="E469">
        <v>26369</v>
      </c>
      <c r="F469" t="s">
        <v>18</v>
      </c>
      <c r="G469">
        <v>3</v>
      </c>
      <c r="H469" t="s">
        <v>19</v>
      </c>
    </row>
    <row r="470" spans="1:8" x14ac:dyDescent="0.3">
      <c r="A470" t="s">
        <v>510</v>
      </c>
      <c r="B470" t="s">
        <v>15</v>
      </c>
      <c r="C470" t="s">
        <v>55</v>
      </c>
      <c r="D470" t="s">
        <v>48</v>
      </c>
      <c r="E470">
        <v>59738</v>
      </c>
      <c r="F470" t="s">
        <v>18</v>
      </c>
      <c r="G470">
        <v>14</v>
      </c>
      <c r="H470" t="s">
        <v>19</v>
      </c>
    </row>
    <row r="471" spans="1:8" x14ac:dyDescent="0.3">
      <c r="A471" t="s">
        <v>511</v>
      </c>
      <c r="B471" t="s">
        <v>29</v>
      </c>
      <c r="C471" t="s">
        <v>10</v>
      </c>
      <c r="D471" t="s">
        <v>85</v>
      </c>
      <c r="E471">
        <v>16091</v>
      </c>
      <c r="F471" t="s">
        <v>18</v>
      </c>
      <c r="G471">
        <v>10</v>
      </c>
      <c r="H471" t="s">
        <v>13</v>
      </c>
    </row>
    <row r="472" spans="1:8" x14ac:dyDescent="0.3">
      <c r="A472" t="s">
        <v>512</v>
      </c>
      <c r="B472" t="s">
        <v>34</v>
      </c>
      <c r="C472" t="s">
        <v>16</v>
      </c>
      <c r="D472" t="s">
        <v>43</v>
      </c>
      <c r="E472">
        <v>23450</v>
      </c>
      <c r="F472" t="s">
        <v>18</v>
      </c>
      <c r="G472">
        <v>13</v>
      </c>
      <c r="H472" t="s">
        <v>35</v>
      </c>
    </row>
    <row r="473" spans="1:8" x14ac:dyDescent="0.3">
      <c r="A473" t="s">
        <v>513</v>
      </c>
      <c r="B473" t="s">
        <v>47</v>
      </c>
      <c r="C473" t="s">
        <v>42</v>
      </c>
      <c r="D473" t="s">
        <v>85</v>
      </c>
      <c r="E473">
        <v>143893</v>
      </c>
      <c r="F473" t="s">
        <v>18</v>
      </c>
      <c r="G473">
        <v>7</v>
      </c>
      <c r="H473" t="s">
        <v>35</v>
      </c>
    </row>
    <row r="474" spans="1:8" x14ac:dyDescent="0.3">
      <c r="A474" t="s">
        <v>514</v>
      </c>
      <c r="B474" t="s">
        <v>37</v>
      </c>
      <c r="C474" t="s">
        <v>16</v>
      </c>
      <c r="D474" t="s">
        <v>85</v>
      </c>
      <c r="E474">
        <v>107735</v>
      </c>
      <c r="F474" t="s">
        <v>12</v>
      </c>
      <c r="G474">
        <v>6</v>
      </c>
      <c r="H474" t="s">
        <v>19</v>
      </c>
    </row>
    <row r="475" spans="1:8" x14ac:dyDescent="0.3">
      <c r="A475" t="s">
        <v>515</v>
      </c>
      <c r="B475" t="s">
        <v>37</v>
      </c>
      <c r="C475" t="s">
        <v>16</v>
      </c>
      <c r="D475" t="s">
        <v>43</v>
      </c>
      <c r="E475">
        <v>115818</v>
      </c>
      <c r="F475" t="s">
        <v>18</v>
      </c>
      <c r="G475">
        <v>1</v>
      </c>
      <c r="H475" t="s">
        <v>13</v>
      </c>
    </row>
    <row r="476" spans="1:8" x14ac:dyDescent="0.3">
      <c r="A476" t="s">
        <v>516</v>
      </c>
      <c r="B476" t="s">
        <v>41</v>
      </c>
      <c r="C476" t="s">
        <v>55</v>
      </c>
      <c r="D476" t="s">
        <v>30</v>
      </c>
      <c r="E476">
        <v>31748</v>
      </c>
      <c r="F476" t="s">
        <v>32</v>
      </c>
      <c r="G476">
        <v>8</v>
      </c>
      <c r="H476" t="s">
        <v>35</v>
      </c>
    </row>
    <row r="477" spans="1:8" x14ac:dyDescent="0.3">
      <c r="A477" t="s">
        <v>517</v>
      </c>
      <c r="B477" t="s">
        <v>21</v>
      </c>
      <c r="C477" t="s">
        <v>16</v>
      </c>
      <c r="D477" t="s">
        <v>27</v>
      </c>
      <c r="E477">
        <v>61475</v>
      </c>
      <c r="F477" t="s">
        <v>18</v>
      </c>
      <c r="G477">
        <v>3</v>
      </c>
      <c r="H477" t="s">
        <v>13</v>
      </c>
    </row>
    <row r="478" spans="1:8" x14ac:dyDescent="0.3">
      <c r="A478" t="s">
        <v>518</v>
      </c>
      <c r="B478" t="s">
        <v>47</v>
      </c>
      <c r="C478" t="s">
        <v>16</v>
      </c>
      <c r="D478" t="s">
        <v>11</v>
      </c>
      <c r="E478">
        <v>61290</v>
      </c>
      <c r="F478" t="s">
        <v>18</v>
      </c>
      <c r="G478">
        <v>11</v>
      </c>
      <c r="H478" t="s">
        <v>35</v>
      </c>
    </row>
    <row r="479" spans="1:8" x14ac:dyDescent="0.3">
      <c r="A479" t="s">
        <v>519</v>
      </c>
      <c r="B479" t="s">
        <v>47</v>
      </c>
      <c r="C479" t="s">
        <v>42</v>
      </c>
      <c r="D479" t="s">
        <v>48</v>
      </c>
      <c r="E479">
        <v>78938</v>
      </c>
      <c r="F479" t="s">
        <v>32</v>
      </c>
      <c r="G479">
        <v>5</v>
      </c>
      <c r="H479" t="s">
        <v>35</v>
      </c>
    </row>
    <row r="480" spans="1:8" x14ac:dyDescent="0.3">
      <c r="A480" t="s">
        <v>520</v>
      </c>
      <c r="B480" t="s">
        <v>25</v>
      </c>
      <c r="C480" t="s">
        <v>22</v>
      </c>
      <c r="D480" t="s">
        <v>45</v>
      </c>
      <c r="E480">
        <v>128573</v>
      </c>
      <c r="F480" t="s">
        <v>12</v>
      </c>
      <c r="G480">
        <v>10</v>
      </c>
      <c r="H480" t="s">
        <v>35</v>
      </c>
    </row>
    <row r="481" spans="1:8" x14ac:dyDescent="0.3">
      <c r="A481" t="s">
        <v>521</v>
      </c>
      <c r="B481" t="s">
        <v>21</v>
      </c>
      <c r="C481" t="s">
        <v>22</v>
      </c>
      <c r="D481" t="s">
        <v>43</v>
      </c>
      <c r="E481">
        <v>59182</v>
      </c>
      <c r="F481" t="s">
        <v>18</v>
      </c>
      <c r="G481">
        <v>14</v>
      </c>
      <c r="H481" t="s">
        <v>35</v>
      </c>
    </row>
    <row r="482" spans="1:8" x14ac:dyDescent="0.3">
      <c r="A482" t="s">
        <v>522</v>
      </c>
      <c r="B482" t="s">
        <v>41</v>
      </c>
      <c r="C482" t="s">
        <v>10</v>
      </c>
      <c r="D482" t="s">
        <v>23</v>
      </c>
      <c r="E482">
        <v>67017</v>
      </c>
      <c r="F482" t="s">
        <v>18</v>
      </c>
      <c r="G482">
        <v>5</v>
      </c>
      <c r="H482" t="s">
        <v>13</v>
      </c>
    </row>
    <row r="483" spans="1:8" x14ac:dyDescent="0.3">
      <c r="A483" t="s">
        <v>523</v>
      </c>
      <c r="B483" t="s">
        <v>41</v>
      </c>
      <c r="C483" t="s">
        <v>26</v>
      </c>
      <c r="D483" t="s">
        <v>53</v>
      </c>
      <c r="E483">
        <v>51719</v>
      </c>
      <c r="F483" t="s">
        <v>32</v>
      </c>
      <c r="G483">
        <v>11</v>
      </c>
      <c r="H483" t="s">
        <v>19</v>
      </c>
    </row>
    <row r="484" spans="1:8" x14ac:dyDescent="0.3">
      <c r="A484" t="s">
        <v>524</v>
      </c>
      <c r="B484" t="s">
        <v>37</v>
      </c>
      <c r="C484" t="s">
        <v>55</v>
      </c>
      <c r="D484" t="s">
        <v>27</v>
      </c>
      <c r="E484">
        <v>31397</v>
      </c>
      <c r="F484" t="s">
        <v>12</v>
      </c>
      <c r="G484">
        <v>13</v>
      </c>
      <c r="H484" t="s">
        <v>19</v>
      </c>
    </row>
    <row r="485" spans="1:8" x14ac:dyDescent="0.3">
      <c r="A485" t="s">
        <v>525</v>
      </c>
      <c r="B485" t="s">
        <v>25</v>
      </c>
      <c r="C485" t="s">
        <v>42</v>
      </c>
      <c r="D485" t="s">
        <v>11</v>
      </c>
      <c r="E485">
        <v>142473</v>
      </c>
      <c r="F485" t="s">
        <v>12</v>
      </c>
      <c r="G485">
        <v>9</v>
      </c>
      <c r="H485" t="s">
        <v>19</v>
      </c>
    </row>
    <row r="486" spans="1:8" x14ac:dyDescent="0.3">
      <c r="A486" t="s">
        <v>526</v>
      </c>
      <c r="B486" t="s">
        <v>41</v>
      </c>
      <c r="C486" t="s">
        <v>55</v>
      </c>
      <c r="D486" t="s">
        <v>45</v>
      </c>
      <c r="E486">
        <v>140096</v>
      </c>
      <c r="F486" t="s">
        <v>12</v>
      </c>
      <c r="G486">
        <v>1</v>
      </c>
      <c r="H486" t="s">
        <v>13</v>
      </c>
    </row>
    <row r="487" spans="1:8" x14ac:dyDescent="0.3">
      <c r="A487" t="s">
        <v>527</v>
      </c>
      <c r="B487" t="s">
        <v>21</v>
      </c>
      <c r="C487" t="s">
        <v>10</v>
      </c>
      <c r="D487" t="s">
        <v>39</v>
      </c>
      <c r="E487">
        <v>114630</v>
      </c>
      <c r="F487" t="s">
        <v>18</v>
      </c>
      <c r="G487">
        <v>3</v>
      </c>
      <c r="H487" t="s">
        <v>19</v>
      </c>
    </row>
    <row r="488" spans="1:8" x14ac:dyDescent="0.3">
      <c r="A488" t="s">
        <v>528</v>
      </c>
      <c r="B488" t="s">
        <v>47</v>
      </c>
      <c r="C488" t="s">
        <v>10</v>
      </c>
      <c r="D488" t="s">
        <v>85</v>
      </c>
      <c r="E488">
        <v>52097</v>
      </c>
      <c r="F488" t="s">
        <v>32</v>
      </c>
      <c r="G488">
        <v>7</v>
      </c>
      <c r="H488" t="s">
        <v>19</v>
      </c>
    </row>
    <row r="489" spans="1:8" x14ac:dyDescent="0.3">
      <c r="A489" t="s">
        <v>529</v>
      </c>
      <c r="B489" t="s">
        <v>47</v>
      </c>
      <c r="C489" t="s">
        <v>10</v>
      </c>
      <c r="D489" t="s">
        <v>53</v>
      </c>
      <c r="E489">
        <v>10512</v>
      </c>
      <c r="F489" t="s">
        <v>32</v>
      </c>
      <c r="G489">
        <v>5</v>
      </c>
      <c r="H489" t="s">
        <v>19</v>
      </c>
    </row>
    <row r="490" spans="1:8" x14ac:dyDescent="0.3">
      <c r="A490" t="s">
        <v>530</v>
      </c>
      <c r="B490" t="s">
        <v>21</v>
      </c>
      <c r="C490" t="s">
        <v>26</v>
      </c>
      <c r="D490" t="s">
        <v>43</v>
      </c>
      <c r="E490">
        <v>17361</v>
      </c>
      <c r="F490" t="s">
        <v>12</v>
      </c>
      <c r="G490">
        <v>3</v>
      </c>
      <c r="H490" t="s">
        <v>19</v>
      </c>
    </row>
    <row r="491" spans="1:8" x14ac:dyDescent="0.3">
      <c r="A491" t="s">
        <v>531</v>
      </c>
      <c r="B491" t="s">
        <v>29</v>
      </c>
      <c r="C491" t="s">
        <v>22</v>
      </c>
      <c r="D491" t="s">
        <v>27</v>
      </c>
      <c r="E491">
        <v>97546</v>
      </c>
      <c r="F491" t="s">
        <v>32</v>
      </c>
      <c r="G491">
        <v>7</v>
      </c>
      <c r="H491" t="s">
        <v>13</v>
      </c>
    </row>
    <row r="492" spans="1:8" x14ac:dyDescent="0.3">
      <c r="A492" t="s">
        <v>532</v>
      </c>
      <c r="B492" t="s">
        <v>15</v>
      </c>
      <c r="C492" t="s">
        <v>42</v>
      </c>
      <c r="D492" t="s">
        <v>61</v>
      </c>
      <c r="E492">
        <v>37495</v>
      </c>
      <c r="F492" t="s">
        <v>12</v>
      </c>
      <c r="G492">
        <v>7</v>
      </c>
      <c r="H492" t="s">
        <v>35</v>
      </c>
    </row>
    <row r="493" spans="1:8" x14ac:dyDescent="0.3">
      <c r="A493" t="s">
        <v>533</v>
      </c>
      <c r="B493" t="s">
        <v>9</v>
      </c>
      <c r="C493" t="s">
        <v>22</v>
      </c>
      <c r="D493" t="s">
        <v>61</v>
      </c>
      <c r="E493">
        <v>100969</v>
      </c>
      <c r="F493" t="s">
        <v>18</v>
      </c>
      <c r="G493">
        <v>13</v>
      </c>
      <c r="H493" t="s">
        <v>13</v>
      </c>
    </row>
    <row r="494" spans="1:8" x14ac:dyDescent="0.3">
      <c r="A494" t="s">
        <v>534</v>
      </c>
      <c r="B494" t="s">
        <v>37</v>
      </c>
      <c r="C494" t="s">
        <v>22</v>
      </c>
      <c r="D494" t="s">
        <v>48</v>
      </c>
      <c r="E494">
        <v>42846</v>
      </c>
      <c r="F494" t="s">
        <v>18</v>
      </c>
      <c r="G494">
        <v>2</v>
      </c>
      <c r="H494" t="s">
        <v>35</v>
      </c>
    </row>
    <row r="495" spans="1:8" x14ac:dyDescent="0.3">
      <c r="A495" t="s">
        <v>535</v>
      </c>
      <c r="B495" t="s">
        <v>41</v>
      </c>
      <c r="C495" t="s">
        <v>55</v>
      </c>
      <c r="D495" t="s">
        <v>39</v>
      </c>
      <c r="E495">
        <v>103784</v>
      </c>
      <c r="F495" t="s">
        <v>32</v>
      </c>
      <c r="G495">
        <v>13</v>
      </c>
      <c r="H495" t="s">
        <v>19</v>
      </c>
    </row>
    <row r="496" spans="1:8" x14ac:dyDescent="0.3">
      <c r="A496" t="s">
        <v>536</v>
      </c>
      <c r="B496" t="s">
        <v>41</v>
      </c>
      <c r="C496" t="s">
        <v>42</v>
      </c>
      <c r="D496" t="s">
        <v>53</v>
      </c>
      <c r="E496">
        <v>78259</v>
      </c>
      <c r="F496" t="s">
        <v>12</v>
      </c>
      <c r="G496">
        <v>7</v>
      </c>
      <c r="H496" t="s">
        <v>19</v>
      </c>
    </row>
    <row r="497" spans="1:8" x14ac:dyDescent="0.3">
      <c r="A497" t="s">
        <v>537</v>
      </c>
      <c r="B497" t="s">
        <v>37</v>
      </c>
      <c r="C497" t="s">
        <v>55</v>
      </c>
      <c r="D497" t="s">
        <v>61</v>
      </c>
      <c r="E497">
        <v>31416</v>
      </c>
      <c r="F497" t="s">
        <v>32</v>
      </c>
      <c r="G497">
        <v>9</v>
      </c>
      <c r="H497" t="s">
        <v>19</v>
      </c>
    </row>
    <row r="498" spans="1:8" x14ac:dyDescent="0.3">
      <c r="A498" t="s">
        <v>538</v>
      </c>
      <c r="B498" t="s">
        <v>21</v>
      </c>
      <c r="C498" t="s">
        <v>10</v>
      </c>
      <c r="D498" t="s">
        <v>48</v>
      </c>
      <c r="E498">
        <v>81881</v>
      </c>
      <c r="F498" t="s">
        <v>32</v>
      </c>
      <c r="G498">
        <v>9</v>
      </c>
      <c r="H498" t="s">
        <v>13</v>
      </c>
    </row>
    <row r="499" spans="1:8" x14ac:dyDescent="0.3">
      <c r="A499" t="s">
        <v>539</v>
      </c>
      <c r="B499" t="s">
        <v>9</v>
      </c>
      <c r="C499" t="s">
        <v>42</v>
      </c>
      <c r="D499" t="s">
        <v>17</v>
      </c>
      <c r="E499">
        <v>34420</v>
      </c>
      <c r="F499" t="s">
        <v>18</v>
      </c>
      <c r="G499">
        <v>0</v>
      </c>
      <c r="H499" t="s">
        <v>19</v>
      </c>
    </row>
    <row r="500" spans="1:8" x14ac:dyDescent="0.3">
      <c r="A500" t="s">
        <v>540</v>
      </c>
      <c r="B500" t="s">
        <v>29</v>
      </c>
      <c r="C500" t="s">
        <v>16</v>
      </c>
      <c r="D500" t="s">
        <v>30</v>
      </c>
      <c r="E500">
        <v>86677</v>
      </c>
      <c r="F500" t="s">
        <v>32</v>
      </c>
      <c r="G500">
        <v>11</v>
      </c>
      <c r="H500" t="s">
        <v>13</v>
      </c>
    </row>
    <row r="501" spans="1:8" x14ac:dyDescent="0.3">
      <c r="A501" t="s">
        <v>541</v>
      </c>
      <c r="B501" t="s">
        <v>34</v>
      </c>
      <c r="C501" t="s">
        <v>42</v>
      </c>
      <c r="D501" t="s">
        <v>30</v>
      </c>
      <c r="E501">
        <v>92424</v>
      </c>
      <c r="F501" t="s">
        <v>12</v>
      </c>
      <c r="G501">
        <v>9</v>
      </c>
      <c r="H501" t="s">
        <v>19</v>
      </c>
    </row>
  </sheetData>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Monthly Spend Trend</vt:lpstr>
      <vt:lpstr>Supplier-wise Spend</vt:lpstr>
      <vt:lpstr>Category-wise Spend</vt:lpstr>
      <vt:lpstr>Payment Status Analysis</vt:lpstr>
      <vt:lpstr>Deliver Delay Analysis</vt:lpstr>
      <vt:lpstr>Total suppliers</vt:lpstr>
      <vt:lpstr>Dashboard</vt:lpstr>
      <vt:lpstr>Procurement_Data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aarati kuchekar</cp:lastModifiedBy>
  <dcterms:created xsi:type="dcterms:W3CDTF">2026-05-29T09:55:03Z</dcterms:created>
  <dcterms:modified xsi:type="dcterms:W3CDTF">2026-05-29T13:02:03Z</dcterms:modified>
</cp:coreProperties>
</file>